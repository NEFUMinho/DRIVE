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ente\OneDrive - Universidade do Minho\Documentos\Alunos\2324\IFE\Aulas_T\Aula_04_04-outubro_Incerteza-FDP\"/>
    </mc:Choice>
  </mc:AlternateContent>
  <bookViews>
    <workbookView xWindow="0" yWindow="0" windowWidth="20980" windowHeight="17560"/>
  </bookViews>
  <sheets>
    <sheet name="Prob_1" sheetId="1" r:id="rId1"/>
    <sheet name="Prob_2" sheetId="2" r:id="rId2"/>
    <sheet name="Prob_3" sheetId="3" r:id="rId3"/>
    <sheet name="Prob_4" sheetId="4" r:id="rId4"/>
    <sheet name="Prob_5" sheetId="5" r:id="rId5"/>
    <sheet name="Prob_6" sheetId="6" r:id="rId6"/>
    <sheet name="Prob_7" sheetId="7" r:id="rId7"/>
    <sheet name="Prob_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8" l="1"/>
  <c r="C5" i="8"/>
  <c r="C5" i="7"/>
  <c r="C15" i="6"/>
  <c r="C33" i="6" s="1"/>
  <c r="C23" i="6"/>
  <c r="C22" i="6"/>
  <c r="C21" i="6"/>
  <c r="C16" i="6"/>
  <c r="C34" i="6" s="1"/>
  <c r="C12" i="6"/>
  <c r="C17" i="6" s="1"/>
  <c r="C35" i="6" s="1"/>
  <c r="C19" i="5"/>
  <c r="C18" i="5"/>
  <c r="C17" i="5"/>
  <c r="C13" i="5"/>
  <c r="C6" i="5"/>
  <c r="C4" i="3"/>
  <c r="G10" i="2"/>
  <c r="C10" i="2"/>
  <c r="G5" i="2"/>
  <c r="C5" i="2"/>
  <c r="D16" i="1"/>
  <c r="D15" i="1"/>
  <c r="C15" i="1"/>
  <c r="C20" i="1"/>
  <c r="C13" i="1"/>
  <c r="D13" i="1"/>
  <c r="D20" i="1" s="1"/>
  <c r="D12" i="1"/>
  <c r="C12" i="1"/>
  <c r="D7" i="1"/>
  <c r="D14" i="1" s="1"/>
  <c r="D6" i="1"/>
  <c r="C7" i="1"/>
  <c r="C6" i="1"/>
  <c r="C14" i="1" s="1"/>
  <c r="C16" i="1" s="1"/>
</calcChain>
</file>

<file path=xl/sharedStrings.xml><?xml version="1.0" encoding="utf-8"?>
<sst xmlns="http://schemas.openxmlformats.org/spreadsheetml/2006/main" count="170" uniqueCount="79">
  <si>
    <t>h</t>
  </si>
  <si>
    <t>cm</t>
  </si>
  <si>
    <t>m</t>
  </si>
  <si>
    <t>s</t>
  </si>
  <si>
    <t>V</t>
  </si>
  <si>
    <t>I</t>
  </si>
  <si>
    <t>A</t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</si>
  <si>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</si>
  <si>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r>
      <t>t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</si>
  <si>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t>min</t>
  </si>
  <si>
    <r>
      <t>t</t>
    </r>
    <r>
      <rPr>
        <vertAlign val="subscript"/>
        <sz val="11"/>
        <color theme="1"/>
        <rFont val="Calibri"/>
        <family val="2"/>
        <scheme val="minor"/>
      </rPr>
      <t>1_central</t>
    </r>
  </si>
  <si>
    <r>
      <t>t</t>
    </r>
    <r>
      <rPr>
        <vertAlign val="subscript"/>
        <sz val="11"/>
        <color theme="1"/>
        <rFont val="Calibri"/>
        <family val="2"/>
        <scheme val="minor"/>
      </rPr>
      <t>2_central</t>
    </r>
  </si>
  <si>
    <r>
      <t>a</t>
    </r>
    <r>
      <rPr>
        <vertAlign val="subscript"/>
        <sz val="11"/>
        <color theme="1"/>
        <rFont val="Calibri"/>
        <family val="2"/>
        <scheme val="minor"/>
      </rPr>
      <t>t1</t>
    </r>
  </si>
  <si>
    <r>
      <t>a</t>
    </r>
    <r>
      <rPr>
        <vertAlign val="subscript"/>
        <sz val="11"/>
        <color theme="1"/>
        <rFont val="Calibri"/>
        <family val="2"/>
        <scheme val="minor"/>
      </rPr>
      <t>t2</t>
    </r>
    <r>
      <rPr>
        <sz val="11"/>
        <color theme="1"/>
        <rFont val="Calibri"/>
        <family val="2"/>
        <scheme val="minor"/>
      </rPr>
      <t/>
    </r>
  </si>
  <si>
    <r>
      <t>FDP</t>
    </r>
    <r>
      <rPr>
        <vertAlign val="subscript"/>
        <sz val="11"/>
        <color theme="1"/>
        <rFont val="Calibri"/>
        <family val="2"/>
        <scheme val="minor"/>
      </rPr>
      <t>t1</t>
    </r>
  </si>
  <si>
    <r>
      <t>FDP</t>
    </r>
    <r>
      <rPr>
        <vertAlign val="subscript"/>
        <sz val="11"/>
        <color theme="1"/>
        <rFont val="Calibri"/>
        <family val="2"/>
        <scheme val="minor"/>
      </rPr>
      <t>t2</t>
    </r>
    <r>
      <rPr>
        <sz val="11"/>
        <color theme="1"/>
        <rFont val="Calibri"/>
        <family val="2"/>
        <scheme val="minor"/>
      </rPr>
      <t/>
    </r>
  </si>
  <si>
    <t>retangular</t>
  </si>
  <si>
    <r>
      <t>ε</t>
    </r>
    <r>
      <rPr>
        <vertAlign val="subscript"/>
        <sz val="11"/>
        <color theme="1"/>
        <rFont val="Calibri"/>
        <family val="2"/>
      </rPr>
      <t>t1</t>
    </r>
  </si>
  <si>
    <r>
      <t>ε</t>
    </r>
    <r>
      <rPr>
        <vertAlign val="subscript"/>
        <sz val="11"/>
        <color theme="1"/>
        <rFont val="Calibri"/>
        <family val="2"/>
      </rPr>
      <t>t2</t>
    </r>
    <r>
      <rPr>
        <sz val="11"/>
        <color theme="1"/>
        <rFont val="Calibri"/>
        <family val="2"/>
        <scheme val="minor"/>
      </rPr>
      <t/>
    </r>
  </si>
  <si>
    <t>Δt</t>
  </si>
  <si>
    <r>
      <t>ε</t>
    </r>
    <r>
      <rPr>
        <vertAlign val="subscript"/>
        <sz val="11"/>
        <color theme="1"/>
        <rFont val="Calibri"/>
        <family val="2"/>
      </rPr>
      <t>Δt</t>
    </r>
  </si>
  <si>
    <r>
      <t>FDP</t>
    </r>
    <r>
      <rPr>
        <vertAlign val="subscript"/>
        <sz val="11"/>
        <color theme="1"/>
        <rFont val="Calibri"/>
        <family val="2"/>
      </rPr>
      <t>Δt</t>
    </r>
  </si>
  <si>
    <t>triangular</t>
  </si>
  <si>
    <r>
      <t>Cálculo alternativo de ε</t>
    </r>
    <r>
      <rPr>
        <vertAlign val="subscript"/>
        <sz val="11"/>
        <color theme="1"/>
        <rFont val="Calibri"/>
        <family val="2"/>
      </rPr>
      <t>Δt</t>
    </r>
  </si>
  <si>
    <r>
      <t>a</t>
    </r>
    <r>
      <rPr>
        <vertAlign val="subscript"/>
        <sz val="11"/>
        <color theme="1"/>
        <rFont val="Calibri"/>
        <family val="2"/>
      </rPr>
      <t>Δt</t>
    </r>
  </si>
  <si>
    <r>
      <t>a</t>
    </r>
    <r>
      <rPr>
        <vertAlign val="subscript"/>
        <sz val="11"/>
        <color theme="1"/>
        <rFont val="Calibri"/>
        <family val="2"/>
        <scheme val="minor"/>
      </rPr>
      <t>V</t>
    </r>
  </si>
  <si>
    <r>
      <t>ε</t>
    </r>
    <r>
      <rPr>
        <vertAlign val="subscript"/>
        <sz val="11"/>
        <color theme="1"/>
        <rFont val="Calibri"/>
        <family val="2"/>
      </rPr>
      <t>V</t>
    </r>
  </si>
  <si>
    <t>FDP</t>
  </si>
  <si>
    <r>
      <t>a</t>
    </r>
    <r>
      <rPr>
        <vertAlign val="subscript"/>
        <sz val="11"/>
        <color theme="1"/>
        <rFont val="Calibri"/>
        <family val="2"/>
        <scheme val="minor"/>
      </rPr>
      <t>I</t>
    </r>
  </si>
  <si>
    <r>
      <t>ε</t>
    </r>
    <r>
      <rPr>
        <vertAlign val="subscript"/>
        <sz val="11"/>
        <color theme="1"/>
        <rFont val="Calibri"/>
        <family val="2"/>
      </rPr>
      <t>I</t>
    </r>
  </si>
  <si>
    <t>T</t>
  </si>
  <si>
    <r>
      <t>a</t>
    </r>
    <r>
      <rPr>
        <vertAlign val="subscript"/>
        <sz val="11"/>
        <color theme="1"/>
        <rFont val="Calibri"/>
        <family val="2"/>
        <scheme val="minor"/>
      </rPr>
      <t>T</t>
    </r>
  </si>
  <si>
    <r>
      <t>ε</t>
    </r>
    <r>
      <rPr>
        <vertAlign val="subscript"/>
        <sz val="11"/>
        <color theme="1"/>
        <rFont val="Calibri"/>
        <family val="2"/>
      </rPr>
      <t>T</t>
    </r>
  </si>
  <si>
    <t>°C</t>
  </si>
  <si>
    <t>Moeda mais próxima da fita métrica</t>
  </si>
  <si>
    <t>Lado esquerdo da moeda</t>
  </si>
  <si>
    <r>
      <t>x</t>
    </r>
    <r>
      <rPr>
        <vertAlign val="subscript"/>
        <sz val="11"/>
        <color theme="1"/>
        <rFont val="Calibri"/>
        <family val="2"/>
        <scheme val="minor"/>
      </rPr>
      <t>E</t>
    </r>
  </si>
  <si>
    <r>
      <t>a</t>
    </r>
    <r>
      <rPr>
        <vertAlign val="subscript"/>
        <sz val="11"/>
        <color theme="1"/>
        <rFont val="Calibri"/>
        <family val="2"/>
        <scheme val="minor"/>
      </rPr>
      <t>xE</t>
    </r>
  </si>
  <si>
    <r>
      <t>ε</t>
    </r>
    <r>
      <rPr>
        <vertAlign val="subscript"/>
        <sz val="11"/>
        <color theme="1"/>
        <rFont val="Calibri"/>
        <family val="2"/>
      </rPr>
      <t>xE</t>
    </r>
  </si>
  <si>
    <t>Lado direito da moeda</t>
  </si>
  <si>
    <r>
      <t>x</t>
    </r>
    <r>
      <rPr>
        <vertAlign val="subscript"/>
        <sz val="11"/>
        <color theme="1"/>
        <rFont val="Calibri"/>
        <family val="2"/>
        <scheme val="minor"/>
      </rPr>
      <t>D</t>
    </r>
  </si>
  <si>
    <r>
      <t>a</t>
    </r>
    <r>
      <rPr>
        <vertAlign val="subscript"/>
        <sz val="11"/>
        <color theme="1"/>
        <rFont val="Calibri"/>
        <family val="2"/>
        <scheme val="minor"/>
      </rPr>
      <t>xD</t>
    </r>
  </si>
  <si>
    <r>
      <t>ε</t>
    </r>
    <r>
      <rPr>
        <vertAlign val="subscript"/>
        <sz val="11"/>
        <color theme="1"/>
        <rFont val="Calibri"/>
        <family val="2"/>
      </rPr>
      <t>xD</t>
    </r>
  </si>
  <si>
    <t>Diâmetro da moeda</t>
  </si>
  <si>
    <r>
      <t>x</t>
    </r>
    <r>
      <rPr>
        <vertAlign val="subscript"/>
        <sz val="11"/>
        <color theme="1"/>
        <rFont val="Calibri"/>
        <family val="2"/>
      </rPr>
      <t>Ø</t>
    </r>
  </si>
  <si>
    <t>desconhecida</t>
  </si>
  <si>
    <t xml:space="preserve">Nota: Como a FDP é desconhecida, não sabemos qual a relação </t>
  </si>
  <si>
    <t>entre a semi-largura e a incerteza, como no caso das FDP retangulares e triangulares.</t>
  </si>
  <si>
    <r>
      <t xml:space="preserve">Mas podemos usar a fórmula de propagação de incertezas </t>
    </r>
    <r>
      <rPr>
        <i/>
        <sz val="11"/>
        <color theme="1"/>
        <rFont val="Calibri"/>
        <family val="2"/>
        <scheme val="minor"/>
      </rPr>
      <t>não correlacionadas</t>
    </r>
    <r>
      <rPr>
        <sz val="11"/>
        <color theme="1"/>
        <rFont val="Calibri"/>
        <family val="2"/>
        <scheme val="minor"/>
      </rPr>
      <t>.</t>
    </r>
  </si>
  <si>
    <r>
      <t>t</t>
    </r>
    <r>
      <rPr>
        <vertAlign val="subscript"/>
        <sz val="11"/>
        <color theme="1"/>
        <rFont val="Calibri"/>
        <family val="2"/>
        <scheme val="minor"/>
      </rPr>
      <t>0</t>
    </r>
  </si>
  <si>
    <t>Primeiro período de funcionamento do microondas</t>
  </si>
  <si>
    <t>início</t>
  </si>
  <si>
    <r>
      <t>a</t>
    </r>
    <r>
      <rPr>
        <vertAlign val="subscript"/>
        <sz val="11"/>
        <color theme="1"/>
        <rFont val="Calibri"/>
        <family val="2"/>
        <scheme val="minor"/>
      </rPr>
      <t>t0</t>
    </r>
  </si>
  <si>
    <r>
      <t>ε</t>
    </r>
    <r>
      <rPr>
        <vertAlign val="subscript"/>
        <sz val="11"/>
        <color theme="1"/>
        <rFont val="Calibri"/>
        <family val="2"/>
      </rPr>
      <t>t0</t>
    </r>
  </si>
  <si>
    <t>valor exato</t>
  </si>
  <si>
    <t>fim</t>
  </si>
  <si>
    <r>
      <t>t</t>
    </r>
    <r>
      <rPr>
        <vertAlign val="subscript"/>
        <sz val="11"/>
        <color theme="1"/>
        <rFont val="Calibri"/>
        <family val="2"/>
        <scheme val="minor"/>
      </rPr>
      <t>início</t>
    </r>
  </si>
  <si>
    <r>
      <t>a</t>
    </r>
    <r>
      <rPr>
        <vertAlign val="subscript"/>
        <sz val="11"/>
        <color theme="1"/>
        <rFont val="Calibri"/>
        <family val="2"/>
        <scheme val="minor"/>
      </rPr>
      <t>tinício</t>
    </r>
  </si>
  <si>
    <r>
      <t>ε</t>
    </r>
    <r>
      <rPr>
        <vertAlign val="subscript"/>
        <sz val="11"/>
        <color theme="1"/>
        <rFont val="Calibri"/>
        <family val="2"/>
      </rPr>
      <t>tinício</t>
    </r>
  </si>
  <si>
    <t>Funcionamento durante o período de ajuste</t>
  </si>
  <si>
    <r>
      <t>t</t>
    </r>
    <r>
      <rPr>
        <vertAlign val="subscript"/>
        <sz val="11"/>
        <color theme="1"/>
        <rFont val="Calibri"/>
        <family val="2"/>
        <scheme val="minor"/>
      </rPr>
      <t>ajuste</t>
    </r>
  </si>
  <si>
    <r>
      <t>a</t>
    </r>
    <r>
      <rPr>
        <vertAlign val="subscript"/>
        <sz val="11"/>
        <color theme="1"/>
        <rFont val="Calibri"/>
        <family val="2"/>
        <scheme val="minor"/>
      </rPr>
      <t>tajuste</t>
    </r>
  </si>
  <si>
    <r>
      <t>ε</t>
    </r>
    <r>
      <rPr>
        <vertAlign val="subscript"/>
        <sz val="11"/>
        <color theme="1"/>
        <rFont val="Calibri"/>
        <family val="2"/>
      </rPr>
      <t>tajuste</t>
    </r>
  </si>
  <si>
    <t>Último período de funcionamento do microondas</t>
  </si>
  <si>
    <r>
      <t>t</t>
    </r>
    <r>
      <rPr>
        <vertAlign val="subscript"/>
        <sz val="11"/>
        <color theme="1"/>
        <rFont val="Calibri"/>
        <family val="2"/>
        <scheme val="minor"/>
      </rPr>
      <t>final</t>
    </r>
  </si>
  <si>
    <r>
      <t>a</t>
    </r>
    <r>
      <rPr>
        <vertAlign val="subscript"/>
        <sz val="11"/>
        <color theme="1"/>
        <rFont val="Calibri"/>
        <family val="2"/>
        <scheme val="minor"/>
      </rPr>
      <t>tfinal</t>
    </r>
  </si>
  <si>
    <r>
      <t>ε</t>
    </r>
    <r>
      <rPr>
        <vertAlign val="subscript"/>
        <sz val="11"/>
        <color theme="1"/>
        <rFont val="Calibri"/>
        <family val="2"/>
      </rPr>
      <t>tfinal</t>
    </r>
  </si>
  <si>
    <t>Tempo total de funcionamento</t>
  </si>
  <si>
    <r>
      <t>t</t>
    </r>
    <r>
      <rPr>
        <vertAlign val="subscript"/>
        <sz val="11"/>
        <color theme="1"/>
        <rFont val="Calibri"/>
        <family val="2"/>
        <scheme val="minor"/>
      </rPr>
      <t>total</t>
    </r>
  </si>
  <si>
    <r>
      <t>a</t>
    </r>
    <r>
      <rPr>
        <vertAlign val="subscript"/>
        <sz val="11"/>
        <color theme="1"/>
        <rFont val="Calibri"/>
        <family val="2"/>
        <scheme val="minor"/>
      </rPr>
      <t>ttotal</t>
    </r>
  </si>
  <si>
    <r>
      <t>ε</t>
    </r>
    <r>
      <rPr>
        <vertAlign val="subscript"/>
        <sz val="11"/>
        <color theme="1"/>
        <rFont val="Calibri"/>
        <family val="2"/>
      </rPr>
      <t>ttotal</t>
    </r>
  </si>
  <si>
    <t>desconhecida (será trapezoidal pois é a combinação de duas FDP retangulares, mas não foi dado na UC)</t>
  </si>
  <si>
    <t>R</t>
  </si>
  <si>
    <t>Ω</t>
  </si>
  <si>
    <r>
      <t>a</t>
    </r>
    <r>
      <rPr>
        <vertAlign val="subscript"/>
        <sz val="11"/>
        <color theme="1"/>
        <rFont val="Calibri"/>
        <family val="2"/>
        <scheme val="minor"/>
      </rPr>
      <t>R</t>
    </r>
  </si>
  <si>
    <r>
      <t>ε</t>
    </r>
    <r>
      <rPr>
        <vertAlign val="subscript"/>
        <sz val="11"/>
        <color theme="1"/>
        <rFont val="Calibri"/>
        <family val="2"/>
      </rPr>
      <t>R</t>
    </r>
  </si>
  <si>
    <r>
      <t>a</t>
    </r>
    <r>
      <rPr>
        <vertAlign val="subscript"/>
        <sz val="11"/>
        <color theme="1"/>
        <rFont val="Calibri"/>
        <family val="2"/>
        <scheme val="minor"/>
      </rPr>
      <t>m</t>
    </r>
  </si>
  <si>
    <r>
      <t>ε</t>
    </r>
    <r>
      <rPr>
        <vertAlign val="subscript"/>
        <sz val="11"/>
        <color theme="1"/>
        <rFont val="Calibri"/>
        <family val="2"/>
      </rPr>
      <t>m</t>
    </r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</si>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</sst>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1"/>
      <color rgb="FF3333FF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8000"/>
      <name val="Calibri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2" borderId="0" xfId="0" applyFont="1" applyFill="1" applyAlignment="1">
      <alignment horizontal="center"/>
    </xf>
    <xf numFmtId="0" fontId="0" fillId="2" borderId="0" xfId="0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0"/>
  <sheetViews>
    <sheetView tabSelected="1" workbookViewId="0">
      <selection activeCell="B2" sqref="B2"/>
    </sheetView>
  </sheetViews>
  <sheetFormatPr defaultRowHeight="14.5" x14ac:dyDescent="0.35"/>
  <sheetData>
    <row r="3" spans="2:4" x14ac:dyDescent="0.35">
      <c r="C3" s="4" t="s">
        <v>0</v>
      </c>
      <c r="D3" s="4" t="s">
        <v>9</v>
      </c>
    </row>
    <row r="4" spans="2:4" ht="16.5" x14ac:dyDescent="0.45">
      <c r="B4" s="3" t="s">
        <v>7</v>
      </c>
      <c r="C4" s="5">
        <v>23</v>
      </c>
      <c r="D4" s="5">
        <v>11</v>
      </c>
    </row>
    <row r="5" spans="2:4" ht="16.5" x14ac:dyDescent="0.45">
      <c r="B5" s="3" t="s">
        <v>8</v>
      </c>
      <c r="C5" s="5">
        <v>23</v>
      </c>
      <c r="D5" s="5">
        <v>13</v>
      </c>
    </row>
    <row r="6" spans="2:4" ht="16.5" x14ac:dyDescent="0.45">
      <c r="B6" s="3" t="s">
        <v>10</v>
      </c>
      <c r="C6" s="7">
        <f>C4</f>
        <v>23</v>
      </c>
      <c r="D6" s="7">
        <f>D4+0.5</f>
        <v>11.5</v>
      </c>
    </row>
    <row r="7" spans="2:4" ht="16.5" x14ac:dyDescent="0.45">
      <c r="B7" s="3" t="s">
        <v>11</v>
      </c>
      <c r="C7" s="7">
        <f>C5</f>
        <v>23</v>
      </c>
      <c r="D7" s="7">
        <f>D5+0.5</f>
        <v>13.5</v>
      </c>
    </row>
    <row r="8" spans="2:4" ht="16.5" x14ac:dyDescent="0.45">
      <c r="B8" s="3" t="s">
        <v>12</v>
      </c>
      <c r="C8" s="7">
        <v>0</v>
      </c>
      <c r="D8" s="7">
        <v>0.5</v>
      </c>
    </row>
    <row r="9" spans="2:4" ht="16.5" x14ac:dyDescent="0.45">
      <c r="B9" s="3" t="s">
        <v>13</v>
      </c>
      <c r="C9" s="7">
        <v>0</v>
      </c>
      <c r="D9" s="7">
        <v>0.5</v>
      </c>
    </row>
    <row r="10" spans="2:4" ht="16.5" x14ac:dyDescent="0.45">
      <c r="B10" s="3" t="s">
        <v>14</v>
      </c>
      <c r="C10" t="s">
        <v>16</v>
      </c>
    </row>
    <row r="11" spans="2:4" ht="16.5" x14ac:dyDescent="0.45">
      <c r="B11" s="3" t="s">
        <v>15</v>
      </c>
      <c r="C11" t="s">
        <v>16</v>
      </c>
    </row>
    <row r="12" spans="2:4" ht="16.5" x14ac:dyDescent="0.45">
      <c r="B12" s="8" t="s">
        <v>17</v>
      </c>
      <c r="C12" s="7">
        <f>C8/SQRT(3)</f>
        <v>0</v>
      </c>
      <c r="D12" s="7">
        <f>D8/SQRT(3)</f>
        <v>0.28867513459481292</v>
      </c>
    </row>
    <row r="13" spans="2:4" ht="16.5" x14ac:dyDescent="0.45">
      <c r="B13" s="8" t="s">
        <v>18</v>
      </c>
      <c r="C13" s="7">
        <f>C9/SQRT(3)</f>
        <v>0</v>
      </c>
      <c r="D13" s="7">
        <f>D9/SQRT(3)</f>
        <v>0.28867513459481292</v>
      </c>
    </row>
    <row r="14" spans="2:4" x14ac:dyDescent="0.35">
      <c r="B14" s="8" t="s">
        <v>19</v>
      </c>
      <c r="C14" s="7">
        <f>C7-C6</f>
        <v>0</v>
      </c>
      <c r="D14" s="7">
        <f>D7-D6</f>
        <v>2</v>
      </c>
    </row>
    <row r="15" spans="2:4" ht="16.5" x14ac:dyDescent="0.45">
      <c r="B15" s="3" t="s">
        <v>24</v>
      </c>
      <c r="C15" s="7">
        <f>C8+C9</f>
        <v>0</v>
      </c>
      <c r="D15" s="7">
        <f>D8+D9</f>
        <v>1</v>
      </c>
    </row>
    <row r="16" spans="2:4" ht="16.5" x14ac:dyDescent="0.45">
      <c r="B16" s="8" t="s">
        <v>20</v>
      </c>
      <c r="C16" s="7">
        <f>C14/SQRT(3)</f>
        <v>0</v>
      </c>
      <c r="D16" s="7">
        <f>D15/SQRT(6)</f>
        <v>0.40824829046386307</v>
      </c>
    </row>
    <row r="17" spans="2:4" ht="16.5" x14ac:dyDescent="0.45">
      <c r="B17" s="3" t="s">
        <v>21</v>
      </c>
      <c r="C17" t="s">
        <v>22</v>
      </c>
    </row>
    <row r="19" spans="2:4" ht="16.5" x14ac:dyDescent="0.45">
      <c r="B19" s="9" t="s">
        <v>23</v>
      </c>
    </row>
    <row r="20" spans="2:4" ht="16.5" x14ac:dyDescent="0.45">
      <c r="B20" s="8" t="s">
        <v>20</v>
      </c>
      <c r="C20" s="7">
        <f>SQRT(C8^2+C9^2)</f>
        <v>0</v>
      </c>
      <c r="D20" s="7">
        <f>SQRT(D12^2+D13^2)</f>
        <v>0.40824829046386307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1"/>
  <sheetViews>
    <sheetView workbookViewId="0">
      <selection activeCell="C49" sqref="C49"/>
    </sheetView>
  </sheetViews>
  <sheetFormatPr defaultRowHeight="14.5" x14ac:dyDescent="0.35"/>
  <sheetData>
    <row r="3" spans="2:8" x14ac:dyDescent="0.35">
      <c r="B3" s="2" t="s">
        <v>4</v>
      </c>
      <c r="C3" s="5">
        <v>123</v>
      </c>
      <c r="D3" s="1" t="s">
        <v>4</v>
      </c>
      <c r="F3" s="2" t="s">
        <v>5</v>
      </c>
      <c r="G3" s="5">
        <v>-5</v>
      </c>
      <c r="H3" s="1" t="s">
        <v>6</v>
      </c>
    </row>
    <row r="4" spans="2:8" ht="16.5" x14ac:dyDescent="0.45">
      <c r="B4" s="2" t="s">
        <v>25</v>
      </c>
      <c r="C4" s="5">
        <v>3</v>
      </c>
      <c r="D4" s="1" t="s">
        <v>4</v>
      </c>
      <c r="F4" s="2" t="s">
        <v>28</v>
      </c>
      <c r="G4" s="5">
        <v>3</v>
      </c>
      <c r="H4" s="1" t="s">
        <v>6</v>
      </c>
    </row>
    <row r="5" spans="2:8" ht="16.5" x14ac:dyDescent="0.45">
      <c r="B5" s="6" t="s">
        <v>26</v>
      </c>
      <c r="C5" s="7">
        <f>C4/SQRT(6)</f>
        <v>1.2247448713915892</v>
      </c>
      <c r="D5" s="1" t="s">
        <v>4</v>
      </c>
      <c r="F5" s="6" t="s">
        <v>29</v>
      </c>
      <c r="G5" s="7">
        <f>G4/SQRT(6)</f>
        <v>1.2247448713915892</v>
      </c>
      <c r="H5" s="1" t="s">
        <v>6</v>
      </c>
    </row>
    <row r="6" spans="2:8" x14ac:dyDescent="0.35">
      <c r="B6" s="6" t="s">
        <v>27</v>
      </c>
      <c r="C6" t="s">
        <v>22</v>
      </c>
      <c r="F6" s="6" t="s">
        <v>27</v>
      </c>
      <c r="G6" t="s">
        <v>22</v>
      </c>
    </row>
    <row r="8" spans="2:8" x14ac:dyDescent="0.35">
      <c r="B8" s="2" t="s">
        <v>4</v>
      </c>
      <c r="C8" s="5">
        <v>123</v>
      </c>
      <c r="D8" s="1" t="s">
        <v>4</v>
      </c>
      <c r="F8" s="2" t="s">
        <v>5</v>
      </c>
      <c r="G8" s="5">
        <v>-5</v>
      </c>
      <c r="H8" s="1" t="s">
        <v>6</v>
      </c>
    </row>
    <row r="9" spans="2:8" ht="16.5" x14ac:dyDescent="0.45">
      <c r="B9" s="2" t="s">
        <v>25</v>
      </c>
      <c r="C9" s="5">
        <v>2</v>
      </c>
      <c r="D9" s="1" t="s">
        <v>4</v>
      </c>
      <c r="F9" s="2" t="s">
        <v>28</v>
      </c>
      <c r="G9" s="5">
        <v>1</v>
      </c>
      <c r="H9" s="1" t="s">
        <v>6</v>
      </c>
    </row>
    <row r="10" spans="2:8" ht="16.5" x14ac:dyDescent="0.45">
      <c r="B10" s="6" t="s">
        <v>26</v>
      </c>
      <c r="C10" s="7">
        <f>C9/SQRT(6)</f>
        <v>0.81649658092772615</v>
      </c>
      <c r="D10" s="1" t="s">
        <v>4</v>
      </c>
      <c r="F10" s="6" t="s">
        <v>29</v>
      </c>
      <c r="G10" s="7">
        <f>G9/SQRT(6)</f>
        <v>0.40824829046386307</v>
      </c>
      <c r="H10" s="1" t="s">
        <v>6</v>
      </c>
    </row>
    <row r="11" spans="2:8" x14ac:dyDescent="0.35">
      <c r="B11" s="6" t="s">
        <v>27</v>
      </c>
      <c r="C11" t="s">
        <v>22</v>
      </c>
      <c r="F11" s="6" t="s">
        <v>27</v>
      </c>
      <c r="G1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"/>
  <sheetViews>
    <sheetView workbookViewId="0">
      <selection activeCell="A2" sqref="A2"/>
    </sheetView>
  </sheetViews>
  <sheetFormatPr defaultRowHeight="14.5" x14ac:dyDescent="0.35"/>
  <sheetData>
    <row r="2" spans="2:4" x14ac:dyDescent="0.35">
      <c r="B2" s="2" t="s">
        <v>30</v>
      </c>
      <c r="C2" s="5">
        <v>146.76</v>
      </c>
      <c r="D2" s="10" t="s">
        <v>33</v>
      </c>
    </row>
    <row r="3" spans="2:4" ht="16.5" x14ac:dyDescent="0.45">
      <c r="B3" s="2" t="s">
        <v>31</v>
      </c>
      <c r="C3" s="5">
        <v>5.0000000000000001E-3</v>
      </c>
      <c r="D3" s="10" t="s">
        <v>33</v>
      </c>
    </row>
    <row r="4" spans="2:4" ht="16.5" x14ac:dyDescent="0.45">
      <c r="B4" s="6" t="s">
        <v>32</v>
      </c>
      <c r="C4" s="7">
        <f>C3/SQRT(3)</f>
        <v>2.886751345948129E-3</v>
      </c>
      <c r="D4" s="10" t="s">
        <v>33</v>
      </c>
    </row>
    <row r="5" spans="2:4" x14ac:dyDescent="0.35">
      <c r="B5" s="6" t="s">
        <v>27</v>
      </c>
      <c r="C5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workbookViewId="0">
      <selection activeCell="F51" sqref="F51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workbookViewId="0">
      <selection activeCell="B24" sqref="B24"/>
    </sheetView>
  </sheetViews>
  <sheetFormatPr defaultRowHeight="14.5" x14ac:dyDescent="0.35"/>
  <sheetData>
    <row r="2" spans="2:4" x14ac:dyDescent="0.35">
      <c r="B2" t="s">
        <v>34</v>
      </c>
    </row>
    <row r="3" spans="2:4" x14ac:dyDescent="0.35">
      <c r="B3" t="s">
        <v>35</v>
      </c>
    </row>
    <row r="4" spans="2:4" ht="16.5" x14ac:dyDescent="0.45">
      <c r="B4" s="2" t="s">
        <v>36</v>
      </c>
      <c r="C4" s="5">
        <v>5.0999999999999996</v>
      </c>
      <c r="D4" s="10" t="s">
        <v>1</v>
      </c>
    </row>
    <row r="5" spans="2:4" ht="16.5" x14ac:dyDescent="0.45">
      <c r="B5" s="2" t="s">
        <v>37</v>
      </c>
      <c r="C5" s="5">
        <v>0.2</v>
      </c>
      <c r="D5" s="10" t="s">
        <v>1</v>
      </c>
    </row>
    <row r="6" spans="2:4" ht="16.5" x14ac:dyDescent="0.45">
      <c r="B6" s="6" t="s">
        <v>38</v>
      </c>
      <c r="C6" s="7">
        <f>C5/SQRT(6)</f>
        <v>8.1649658092772609E-2</v>
      </c>
      <c r="D6" s="10" t="s">
        <v>1</v>
      </c>
    </row>
    <row r="7" spans="2:4" x14ac:dyDescent="0.35">
      <c r="B7" s="6" t="s">
        <v>27</v>
      </c>
      <c r="C7" t="s">
        <v>22</v>
      </c>
    </row>
    <row r="10" spans="2:4" x14ac:dyDescent="0.35">
      <c r="B10" t="s">
        <v>39</v>
      </c>
    </row>
    <row r="11" spans="2:4" ht="16.5" x14ac:dyDescent="0.45">
      <c r="B11" s="2" t="s">
        <v>40</v>
      </c>
      <c r="C11" s="5">
        <v>6.9</v>
      </c>
      <c r="D11" s="10" t="s">
        <v>1</v>
      </c>
    </row>
    <row r="12" spans="2:4" ht="16.5" x14ac:dyDescent="0.45">
      <c r="B12" s="2" t="s">
        <v>41</v>
      </c>
      <c r="C12" s="5">
        <v>0.2</v>
      </c>
      <c r="D12" s="10" t="s">
        <v>1</v>
      </c>
    </row>
    <row r="13" spans="2:4" ht="16.5" x14ac:dyDescent="0.45">
      <c r="B13" s="6" t="s">
        <v>42</v>
      </c>
      <c r="C13" s="7">
        <f>C12/SQRT(6)</f>
        <v>8.1649658092772609E-2</v>
      </c>
      <c r="D13" s="10" t="s">
        <v>1</v>
      </c>
    </row>
    <row r="14" spans="2:4" x14ac:dyDescent="0.35">
      <c r="B14" s="6" t="s">
        <v>27</v>
      </c>
      <c r="C14" t="s">
        <v>22</v>
      </c>
    </row>
    <row r="16" spans="2:4" x14ac:dyDescent="0.35">
      <c r="B16" s="9" t="s">
        <v>43</v>
      </c>
    </row>
    <row r="17" spans="2:4" ht="16.5" x14ac:dyDescent="0.45">
      <c r="B17" s="2" t="s">
        <v>44</v>
      </c>
      <c r="C17" s="7">
        <f>C11-C4</f>
        <v>1.8000000000000007</v>
      </c>
      <c r="D17" s="10" t="s">
        <v>1</v>
      </c>
    </row>
    <row r="18" spans="2:4" ht="16.5" x14ac:dyDescent="0.45">
      <c r="B18" s="2" t="s">
        <v>41</v>
      </c>
      <c r="C18" s="7">
        <f>C12+C5</f>
        <v>0.4</v>
      </c>
      <c r="D18" s="10" t="s">
        <v>1</v>
      </c>
    </row>
    <row r="19" spans="2:4" ht="16.5" x14ac:dyDescent="0.45">
      <c r="B19" s="6" t="s">
        <v>42</v>
      </c>
      <c r="C19" s="11">
        <f>SQRT(C6^2+C13^2)</f>
        <v>0.11547005383792516</v>
      </c>
      <c r="D19" s="10" t="s">
        <v>1</v>
      </c>
    </row>
    <row r="20" spans="2:4" x14ac:dyDescent="0.35">
      <c r="B20" s="6" t="s">
        <v>27</v>
      </c>
      <c r="C20" t="s">
        <v>45</v>
      </c>
    </row>
    <row r="22" spans="2:4" x14ac:dyDescent="0.35">
      <c r="B22" s="12" t="s">
        <v>46</v>
      </c>
    </row>
    <row r="23" spans="2:4" x14ac:dyDescent="0.35">
      <c r="B23" s="9" t="s">
        <v>47</v>
      </c>
    </row>
    <row r="24" spans="2:4" x14ac:dyDescent="0.35">
      <c r="B24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6"/>
  <sheetViews>
    <sheetView workbookViewId="0">
      <selection activeCell="C37" sqref="C37"/>
    </sheetView>
  </sheetViews>
  <sheetFormatPr defaultRowHeight="14.5" x14ac:dyDescent="0.35"/>
  <sheetData>
    <row r="2" spans="2:4" ht="18.5" x14ac:dyDescent="0.45">
      <c r="B2" s="13" t="s">
        <v>50</v>
      </c>
    </row>
    <row r="3" spans="2:4" x14ac:dyDescent="0.35">
      <c r="B3" t="s">
        <v>51</v>
      </c>
    </row>
    <row r="4" spans="2:4" ht="16.5" x14ac:dyDescent="0.45">
      <c r="B4" s="2" t="s">
        <v>49</v>
      </c>
      <c r="C4" s="5">
        <v>60</v>
      </c>
      <c r="D4" s="10" t="s">
        <v>3</v>
      </c>
    </row>
    <row r="5" spans="2:4" ht="16.5" x14ac:dyDescent="0.45">
      <c r="B5" s="2" t="s">
        <v>52</v>
      </c>
      <c r="C5" s="5">
        <v>0</v>
      </c>
      <c r="D5" s="10" t="s">
        <v>3</v>
      </c>
    </row>
    <row r="6" spans="2:4" ht="16.5" x14ac:dyDescent="0.45">
      <c r="B6" s="6" t="s">
        <v>53</v>
      </c>
      <c r="C6" s="7">
        <v>0</v>
      </c>
      <c r="D6" s="10" t="s">
        <v>3</v>
      </c>
    </row>
    <row r="7" spans="2:4" x14ac:dyDescent="0.35">
      <c r="B7" s="6" t="s">
        <v>27</v>
      </c>
      <c r="C7" t="s">
        <v>54</v>
      </c>
    </row>
    <row r="9" spans="2:4" x14ac:dyDescent="0.35">
      <c r="B9" t="s">
        <v>55</v>
      </c>
    </row>
    <row r="10" spans="2:4" ht="16.5" x14ac:dyDescent="0.45">
      <c r="B10" s="2" t="s">
        <v>7</v>
      </c>
      <c r="C10" s="5">
        <v>34.5</v>
      </c>
      <c r="D10" s="10" t="s">
        <v>3</v>
      </c>
    </row>
    <row r="11" spans="2:4" ht="16.5" x14ac:dyDescent="0.45">
      <c r="B11" s="2" t="s">
        <v>12</v>
      </c>
      <c r="C11" s="5">
        <v>0.5</v>
      </c>
      <c r="D11" s="10" t="s">
        <v>3</v>
      </c>
    </row>
    <row r="12" spans="2:4" ht="16.5" x14ac:dyDescent="0.45">
      <c r="B12" s="6" t="s">
        <v>17</v>
      </c>
      <c r="C12" s="7">
        <f>C11/SQRT(3)</f>
        <v>0.28867513459481292</v>
      </c>
      <c r="D12" s="10" t="s">
        <v>3</v>
      </c>
    </row>
    <row r="13" spans="2:4" x14ac:dyDescent="0.35">
      <c r="B13" s="6" t="s">
        <v>27</v>
      </c>
      <c r="C13" t="s">
        <v>16</v>
      </c>
    </row>
    <row r="15" spans="2:4" ht="16.5" x14ac:dyDescent="0.45">
      <c r="B15" s="2" t="s">
        <v>56</v>
      </c>
      <c r="C15" s="7">
        <f>C4-C10</f>
        <v>25.5</v>
      </c>
      <c r="D15" s="10" t="s">
        <v>3</v>
      </c>
    </row>
    <row r="16" spans="2:4" ht="16.5" x14ac:dyDescent="0.45">
      <c r="B16" s="2" t="s">
        <v>57</v>
      </c>
      <c r="C16" s="7">
        <f>C5+C11</f>
        <v>0.5</v>
      </c>
      <c r="D16" s="10" t="s">
        <v>3</v>
      </c>
    </row>
    <row r="17" spans="2:4" ht="16.5" x14ac:dyDescent="0.45">
      <c r="B17" s="6" t="s">
        <v>58</v>
      </c>
      <c r="C17" s="7">
        <f>SQRT(C12^2+C6^2)</f>
        <v>0.28867513459481292</v>
      </c>
      <c r="D17" s="10" t="s">
        <v>3</v>
      </c>
    </row>
    <row r="18" spans="2:4" x14ac:dyDescent="0.35">
      <c r="B18" s="6" t="s">
        <v>27</v>
      </c>
      <c r="C18" t="s">
        <v>16</v>
      </c>
    </row>
    <row r="20" spans="2:4" ht="18.5" x14ac:dyDescent="0.45">
      <c r="B20" s="13" t="s">
        <v>59</v>
      </c>
    </row>
    <row r="21" spans="2:4" ht="16.5" x14ac:dyDescent="0.45">
      <c r="B21" s="2" t="s">
        <v>60</v>
      </c>
      <c r="C21" s="7">
        <f>AVERAGE(0.8,0.4)</f>
        <v>0.60000000000000009</v>
      </c>
      <c r="D21" s="10" t="s">
        <v>3</v>
      </c>
    </row>
    <row r="22" spans="2:4" ht="16.5" x14ac:dyDescent="0.45">
      <c r="B22" s="2" t="s">
        <v>61</v>
      </c>
      <c r="C22" s="7">
        <f>(0.8-0.4)/2</f>
        <v>0.2</v>
      </c>
      <c r="D22" s="10" t="s">
        <v>3</v>
      </c>
    </row>
    <row r="23" spans="2:4" ht="16.5" x14ac:dyDescent="0.45">
      <c r="B23" s="6" t="s">
        <v>62</v>
      </c>
      <c r="C23" s="7">
        <f>C22/SQRT(3)</f>
        <v>0.11547005383792516</v>
      </c>
      <c r="D23" s="10" t="s">
        <v>3</v>
      </c>
    </row>
    <row r="24" spans="2:4" x14ac:dyDescent="0.35">
      <c r="B24" s="6" t="s">
        <v>27</v>
      </c>
      <c r="C24" t="s">
        <v>16</v>
      </c>
    </row>
    <row r="26" spans="2:4" ht="18.5" x14ac:dyDescent="0.45">
      <c r="B26" s="13" t="s">
        <v>63</v>
      </c>
    </row>
    <row r="27" spans="2:4" ht="16.5" x14ac:dyDescent="0.45">
      <c r="B27" s="2" t="s">
        <v>64</v>
      </c>
      <c r="C27" s="5">
        <v>40</v>
      </c>
      <c r="D27" s="10" t="s">
        <v>3</v>
      </c>
    </row>
    <row r="28" spans="2:4" ht="16.5" x14ac:dyDescent="0.45">
      <c r="B28" s="2" t="s">
        <v>65</v>
      </c>
      <c r="C28" s="5">
        <v>0</v>
      </c>
      <c r="D28" s="10" t="s">
        <v>3</v>
      </c>
    </row>
    <row r="29" spans="2:4" ht="16.5" x14ac:dyDescent="0.45">
      <c r="B29" s="6" t="s">
        <v>66</v>
      </c>
      <c r="C29" s="7">
        <v>0</v>
      </c>
      <c r="D29" s="10" t="s">
        <v>3</v>
      </c>
    </row>
    <row r="30" spans="2:4" x14ac:dyDescent="0.35">
      <c r="B30" s="6" t="s">
        <v>27</v>
      </c>
      <c r="C30" t="s">
        <v>54</v>
      </c>
    </row>
    <row r="32" spans="2:4" ht="18.5" x14ac:dyDescent="0.45">
      <c r="B32" s="13" t="s">
        <v>67</v>
      </c>
    </row>
    <row r="33" spans="2:4" ht="16.5" x14ac:dyDescent="0.45">
      <c r="B33" s="2" t="s">
        <v>68</v>
      </c>
      <c r="C33" s="7">
        <f>C15+C21+C27</f>
        <v>66.099999999999994</v>
      </c>
      <c r="D33" s="10" t="s">
        <v>3</v>
      </c>
    </row>
    <row r="34" spans="2:4" ht="16.5" x14ac:dyDescent="0.45">
      <c r="B34" s="2" t="s">
        <v>69</v>
      </c>
      <c r="C34" s="7">
        <f>C16+C22+C28</f>
        <v>0.7</v>
      </c>
      <c r="D34" s="10" t="s">
        <v>3</v>
      </c>
    </row>
    <row r="35" spans="2:4" ht="16.5" x14ac:dyDescent="0.45">
      <c r="B35" s="6" t="s">
        <v>70</v>
      </c>
      <c r="C35" s="7">
        <f>SQRT(C17^2+C23^2+C29^2)</f>
        <v>0.31091263510296052</v>
      </c>
      <c r="D35" s="10" t="s">
        <v>3</v>
      </c>
    </row>
    <row r="36" spans="2:4" x14ac:dyDescent="0.35">
      <c r="B36" s="6" t="s">
        <v>27</v>
      </c>
      <c r="C36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6"/>
  <sheetViews>
    <sheetView workbookViewId="0">
      <selection activeCell="D6" sqref="D6"/>
    </sheetView>
  </sheetViews>
  <sheetFormatPr defaultRowHeight="14.5" x14ac:dyDescent="0.35"/>
  <sheetData>
    <row r="3" spans="2:4" x14ac:dyDescent="0.35">
      <c r="B3" s="2" t="s">
        <v>72</v>
      </c>
      <c r="C3" s="5">
        <v>0.53</v>
      </c>
      <c r="D3" s="10" t="s">
        <v>73</v>
      </c>
    </row>
    <row r="4" spans="2:4" ht="16.5" x14ac:dyDescent="0.45">
      <c r="B4" s="2" t="s">
        <v>74</v>
      </c>
      <c r="C4" s="5">
        <v>0.05</v>
      </c>
      <c r="D4" s="10" t="s">
        <v>73</v>
      </c>
    </row>
    <row r="5" spans="2:4" ht="16.5" x14ac:dyDescent="0.45">
      <c r="B5" s="6" t="s">
        <v>75</v>
      </c>
      <c r="C5" s="7">
        <f>C4/SQRT(6)</f>
        <v>2.0412414523193152E-2</v>
      </c>
      <c r="D5" s="10" t="s">
        <v>73</v>
      </c>
    </row>
    <row r="6" spans="2:4" x14ac:dyDescent="0.35">
      <c r="B6" s="6" t="s">
        <v>27</v>
      </c>
      <c r="C6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1"/>
  <sheetViews>
    <sheetView workbookViewId="0">
      <selection activeCell="E21" sqref="E21"/>
    </sheetView>
  </sheetViews>
  <sheetFormatPr defaultRowHeight="14.5" x14ac:dyDescent="0.35"/>
  <sheetData>
    <row r="3" spans="2:4" x14ac:dyDescent="0.35">
      <c r="B3" s="2" t="s">
        <v>4</v>
      </c>
      <c r="C3" s="5">
        <v>2.2799999999999998</v>
      </c>
      <c r="D3" s="1" t="s">
        <v>4</v>
      </c>
    </row>
    <row r="4" spans="2:4" ht="16.5" x14ac:dyDescent="0.45">
      <c r="B4" s="2" t="s">
        <v>25</v>
      </c>
      <c r="C4" s="5">
        <v>0.05</v>
      </c>
      <c r="D4" s="1" t="s">
        <v>4</v>
      </c>
    </row>
    <row r="5" spans="2:4" ht="16.5" x14ac:dyDescent="0.45">
      <c r="B5" s="6" t="s">
        <v>26</v>
      </c>
      <c r="C5" s="7">
        <f>C4/SQRT(6)</f>
        <v>2.0412414523193152E-2</v>
      </c>
      <c r="D5" s="1" t="s">
        <v>4</v>
      </c>
    </row>
    <row r="6" spans="2:4" x14ac:dyDescent="0.35">
      <c r="B6" s="6" t="s">
        <v>27</v>
      </c>
      <c r="C6" t="s">
        <v>22</v>
      </c>
    </row>
    <row r="8" spans="2:4" x14ac:dyDescent="0.35">
      <c r="B8" s="2" t="s">
        <v>2</v>
      </c>
      <c r="C8" s="5">
        <v>83.36</v>
      </c>
      <c r="D8" s="1" t="s">
        <v>78</v>
      </c>
    </row>
    <row r="9" spans="2:4" ht="16.5" x14ac:dyDescent="0.45">
      <c r="B9" s="2" t="s">
        <v>76</v>
      </c>
      <c r="C9" s="5">
        <v>5.0000000000000001E-3</v>
      </c>
      <c r="D9" s="1" t="s">
        <v>78</v>
      </c>
    </row>
    <row r="10" spans="2:4" ht="16.5" x14ac:dyDescent="0.45">
      <c r="B10" s="6" t="s">
        <v>77</v>
      </c>
      <c r="C10" s="7">
        <f>C9/SQRT(3)</f>
        <v>2.886751345948129E-3</v>
      </c>
      <c r="D10" s="1" t="s">
        <v>78</v>
      </c>
    </row>
    <row r="11" spans="2:4" x14ac:dyDescent="0.35">
      <c r="B11" s="6" t="s">
        <v>27</v>
      </c>
      <c r="C1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F21B70640A2E45B73D6603D386F931" ma:contentTypeVersion="14" ma:contentTypeDescription="Criar um novo documento." ma:contentTypeScope="" ma:versionID="cb8e284076328c6c06c9c918404effe8">
  <xsd:schema xmlns:xsd="http://www.w3.org/2001/XMLSchema" xmlns:xs="http://www.w3.org/2001/XMLSchema" xmlns:p="http://schemas.microsoft.com/office/2006/metadata/properties" xmlns:ns3="b81fc94e-6345-4919-8801-cb2453a9716a" xmlns:ns4="7c284bd3-9d49-4966-bb9a-4f9a50667e8c" targetNamespace="http://schemas.microsoft.com/office/2006/metadata/properties" ma:root="true" ma:fieldsID="aa5d50224a109e2156ea85e3c4f35d50" ns3:_="" ns4:_="">
    <xsd:import namespace="b81fc94e-6345-4919-8801-cb2453a9716a"/>
    <xsd:import namespace="7c284bd3-9d49-4966-bb9a-4f9a50667e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fc94e-6345-4919-8801-cb2453a97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84bd3-9d49-4966-bb9a-4f9a50667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1fc94e-6345-4919-8801-cb2453a971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BCE922-31FE-4791-8C1C-5CBC4FF55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fc94e-6345-4919-8801-cb2453a9716a"/>
    <ds:schemaRef ds:uri="7c284bd3-9d49-4966-bb9a-4f9a50667e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F64E56-8898-4AFC-B0A0-756E280A02C0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c284bd3-9d49-4966-bb9a-4f9a50667e8c"/>
    <ds:schemaRef ds:uri="b81fc94e-6345-4919-8801-cb2453a9716a"/>
  </ds:schemaRefs>
</ds:datastoreItem>
</file>

<file path=customXml/itemProps3.xml><?xml version="1.0" encoding="utf-8"?>
<ds:datastoreItem xmlns:ds="http://schemas.openxmlformats.org/officeDocument/2006/customXml" ds:itemID="{751BBC7B-91CF-483F-9887-A25F684AE4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Prob_1</vt:lpstr>
      <vt:lpstr>Prob_2</vt:lpstr>
      <vt:lpstr>Prob_3</vt:lpstr>
      <vt:lpstr>Prob_4</vt:lpstr>
      <vt:lpstr>Prob_5</vt:lpstr>
      <vt:lpstr>Prob_6</vt:lpstr>
      <vt:lpstr>Prob_7</vt:lpstr>
      <vt:lpstr>Prob_8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</dc:creator>
  <cp:lastModifiedBy>Vicente</cp:lastModifiedBy>
  <dcterms:created xsi:type="dcterms:W3CDTF">2023-10-22T10:10:31Z</dcterms:created>
  <dcterms:modified xsi:type="dcterms:W3CDTF">2023-10-22T16:19:28Z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0x010100F1F21B70640A2E45B73D6603D386F931</vt:lpwstr>
  </property>
</Properties>
</file>