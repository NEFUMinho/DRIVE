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uminho365-my.sharepoint.com/personal/d464_uminho_pt/Documents/Documentos/Alunos/2324/IFE/Aulas_T/Aula_03_29-setembro_Erros &amp; propagação/"/>
    </mc:Choice>
  </mc:AlternateContent>
  <bookViews>
    <workbookView xWindow="0" yWindow="0" windowWidth="20980" windowHeight="17560"/>
  </bookViews>
  <sheets>
    <sheet name="Prob_1" sheetId="1" r:id="rId1"/>
    <sheet name="Prob_2" sheetId="2" r:id="rId2"/>
    <sheet name="Prob_3" sheetId="3" r:id="rId3"/>
    <sheet name="Prob_4" sheetId="4" r:id="rId4"/>
    <sheet name="Prob_5" sheetId="5" r:id="rId5"/>
    <sheet name="Prob_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6" l="1"/>
  <c r="H16" i="6"/>
  <c r="H15" i="6"/>
  <c r="H14" i="6"/>
  <c r="H13" i="6"/>
  <c r="H11" i="6"/>
  <c r="C19" i="6"/>
  <c r="C11" i="6"/>
  <c r="C2" i="6"/>
  <c r="C14" i="6"/>
  <c r="C15" i="6"/>
  <c r="C16" i="6"/>
  <c r="C17" i="6"/>
  <c r="C13" i="6"/>
  <c r="C4" i="5"/>
  <c r="E9" i="5"/>
  <c r="G9" i="5" s="1"/>
  <c r="F9" i="5"/>
  <c r="H9" i="5" s="1"/>
  <c r="J9" i="5" s="1"/>
  <c r="E10" i="5"/>
  <c r="G10" i="5" s="1"/>
  <c r="F10" i="5"/>
  <c r="H10" i="5" s="1"/>
  <c r="J10" i="5" s="1"/>
  <c r="E11" i="5"/>
  <c r="G11" i="5" s="1"/>
  <c r="F11" i="5"/>
  <c r="H11" i="5" s="1"/>
  <c r="J11" i="5" s="1"/>
  <c r="F8" i="5"/>
  <c r="H8" i="5" s="1"/>
  <c r="J8" i="5" s="1"/>
  <c r="E8" i="5"/>
  <c r="G8" i="5" s="1"/>
  <c r="I8" i="5" s="1"/>
  <c r="K8" i="5" s="1"/>
  <c r="F6" i="2"/>
  <c r="E8" i="4"/>
  <c r="D8" i="4"/>
  <c r="G6" i="4"/>
  <c r="G7" i="4"/>
  <c r="G8" i="4" s="1"/>
  <c r="G5" i="4"/>
  <c r="G7" i="3"/>
  <c r="G6" i="3"/>
  <c r="C7" i="3"/>
  <c r="C6" i="3"/>
  <c r="G7" i="2"/>
  <c r="H7" i="2" s="1"/>
  <c r="G6" i="2"/>
  <c r="F7" i="2"/>
  <c r="F8" i="2"/>
  <c r="G8" i="2" s="1"/>
  <c r="H8" i="2" s="1"/>
  <c r="C5" i="1"/>
  <c r="H19" i="6" l="1"/>
  <c r="I10" i="5"/>
  <c r="I11" i="5"/>
  <c r="K11" i="5" s="1"/>
  <c r="I9" i="5"/>
  <c r="K9" i="5" s="1"/>
  <c r="K10" i="5"/>
  <c r="F8" i="4"/>
  <c r="H6" i="2"/>
</calcChain>
</file>

<file path=xl/sharedStrings.xml><?xml version="1.0" encoding="utf-8"?>
<sst xmlns="http://schemas.openxmlformats.org/spreadsheetml/2006/main" count="122" uniqueCount="57">
  <si>
    <t>h</t>
  </si>
  <si>
    <t>cm</t>
  </si>
  <si>
    <r>
      <rPr>
        <sz val="11"/>
        <color theme="1"/>
        <rFont val="Calibri"/>
        <family val="2"/>
      </rPr>
      <t>ε</t>
    </r>
    <r>
      <rPr>
        <vertAlign val="subscript"/>
        <sz val="11"/>
        <color theme="1"/>
        <rFont val="Calibri"/>
        <family val="2"/>
      </rPr>
      <t>h</t>
    </r>
  </si>
  <si>
    <r>
      <t>h</t>
    </r>
    <r>
      <rPr>
        <vertAlign val="subscript"/>
        <sz val="11"/>
        <color theme="1"/>
        <rFont val="Calibri"/>
        <family val="2"/>
      </rPr>
      <t>vv</t>
    </r>
  </si>
  <si>
    <t>Variável</t>
  </si>
  <si>
    <t>Estimativa</t>
  </si>
  <si>
    <t>VV</t>
  </si>
  <si>
    <t>x</t>
  </si>
  <si>
    <t>v</t>
  </si>
  <si>
    <t>a</t>
  </si>
  <si>
    <r>
      <t>ε</t>
    </r>
    <r>
      <rPr>
        <vertAlign val="subscript"/>
        <sz val="11"/>
        <color theme="1"/>
        <rFont val="Calibri"/>
        <family val="2"/>
      </rPr>
      <t>abs</t>
    </r>
  </si>
  <si>
    <r>
      <t>ε</t>
    </r>
    <r>
      <rPr>
        <vertAlign val="subscript"/>
        <sz val="11"/>
        <color theme="1"/>
        <rFont val="Calibri"/>
        <family val="2"/>
      </rPr>
      <t>rel</t>
    </r>
  </si>
  <si>
    <t>r</t>
  </si>
  <si>
    <r>
      <t>ε</t>
    </r>
    <r>
      <rPr>
        <vertAlign val="subscript"/>
        <sz val="11"/>
        <color theme="1"/>
        <rFont val="Calibri"/>
        <family val="2"/>
      </rPr>
      <t>x</t>
    </r>
  </si>
  <si>
    <r>
      <t>ε</t>
    </r>
    <r>
      <rPr>
        <vertAlign val="subscript"/>
        <sz val="11"/>
        <color theme="1"/>
        <rFont val="Calibri"/>
        <family val="2"/>
      </rPr>
      <t>r</t>
    </r>
  </si>
  <si>
    <r>
      <t>l</t>
    </r>
    <r>
      <rPr>
        <vertAlign val="subscript"/>
        <sz val="11"/>
        <color theme="1"/>
        <rFont val="Calibri"/>
        <family val="2"/>
      </rPr>
      <t>exp</t>
    </r>
  </si>
  <si>
    <r>
      <t>ε</t>
    </r>
    <r>
      <rPr>
        <vertAlign val="subscript"/>
        <sz val="11"/>
        <color theme="1"/>
        <rFont val="Calibri"/>
        <family val="2"/>
      </rPr>
      <t>l</t>
    </r>
  </si>
  <si>
    <t>m</t>
  </si>
  <si>
    <t>s</t>
  </si>
  <si>
    <t>t</t>
  </si>
  <si>
    <t>m/s</t>
  </si>
  <si>
    <t>Média</t>
  </si>
  <si>
    <r>
      <t>v</t>
    </r>
    <r>
      <rPr>
        <vertAlign val="subscript"/>
        <sz val="11"/>
        <color theme="1"/>
        <rFont val="Calibri"/>
        <family val="2"/>
      </rPr>
      <t>alunoA</t>
    </r>
  </si>
  <si>
    <r>
      <t>v</t>
    </r>
    <r>
      <rPr>
        <vertAlign val="subscript"/>
        <sz val="11"/>
        <color theme="1"/>
        <rFont val="Calibri"/>
        <family val="2"/>
      </rPr>
      <t>alunoB</t>
    </r>
  </si>
  <si>
    <r>
      <t>a</t>
    </r>
    <r>
      <rPr>
        <vertAlign val="subscript"/>
        <sz val="11"/>
        <color theme="1"/>
        <rFont val="Calibri"/>
        <family val="2"/>
      </rPr>
      <t>vv</t>
    </r>
  </si>
  <si>
    <r>
      <t>b</t>
    </r>
    <r>
      <rPr>
        <vertAlign val="subscript"/>
        <sz val="11"/>
        <color theme="1"/>
        <rFont val="Calibri"/>
        <family val="2"/>
      </rPr>
      <t>vv</t>
    </r>
  </si>
  <si>
    <t>mm</t>
  </si>
  <si>
    <r>
      <t>ε</t>
    </r>
    <r>
      <rPr>
        <vertAlign val="subscript"/>
        <sz val="11"/>
        <color theme="1"/>
        <rFont val="Calibri"/>
        <family val="2"/>
      </rPr>
      <t>a+</t>
    </r>
  </si>
  <si>
    <r>
      <t>ε</t>
    </r>
    <r>
      <rPr>
        <vertAlign val="subscript"/>
        <sz val="11"/>
        <color theme="1"/>
        <rFont val="Calibri"/>
        <family val="2"/>
      </rPr>
      <t>a−</t>
    </r>
  </si>
  <si>
    <r>
      <t>a</t>
    </r>
    <r>
      <rPr>
        <vertAlign val="subscript"/>
        <sz val="11"/>
        <color theme="1"/>
        <rFont val="Calibri"/>
        <family val="2"/>
      </rPr>
      <t>exp+</t>
    </r>
  </si>
  <si>
    <r>
      <t>a</t>
    </r>
    <r>
      <rPr>
        <vertAlign val="subscript"/>
        <sz val="11"/>
        <color theme="1"/>
        <rFont val="Calibri"/>
        <family val="2"/>
      </rPr>
      <t>exp−</t>
    </r>
  </si>
  <si>
    <r>
      <t>Q</t>
    </r>
    <r>
      <rPr>
        <vertAlign val="subscript"/>
        <sz val="11"/>
        <color theme="1"/>
        <rFont val="Calibri"/>
        <family val="2"/>
      </rPr>
      <t>vv</t>
    </r>
  </si>
  <si>
    <r>
      <t>ε</t>
    </r>
    <r>
      <rPr>
        <vertAlign val="subscript"/>
        <sz val="11"/>
        <color theme="1"/>
        <rFont val="Calibri"/>
        <family val="2"/>
      </rPr>
      <t>Q+</t>
    </r>
  </si>
  <si>
    <r>
      <t>ε</t>
    </r>
    <r>
      <rPr>
        <vertAlign val="subscript"/>
        <sz val="11"/>
        <color theme="1"/>
        <rFont val="Calibri"/>
        <family val="2"/>
      </rPr>
      <t>Q−</t>
    </r>
  </si>
  <si>
    <r>
      <t>Q</t>
    </r>
    <r>
      <rPr>
        <vertAlign val="subscript"/>
        <sz val="11"/>
        <color theme="1"/>
        <rFont val="Calibri"/>
        <family val="2"/>
      </rPr>
      <t>exp+</t>
    </r>
  </si>
  <si>
    <r>
      <t>Q</t>
    </r>
    <r>
      <rPr>
        <vertAlign val="subscript"/>
        <sz val="11"/>
        <color theme="1"/>
        <rFont val="Calibri"/>
        <family val="2"/>
      </rPr>
      <t>exp−</t>
    </r>
  </si>
  <si>
    <t>assimetria</t>
  </si>
  <si>
    <t>N</t>
  </si>
  <si>
    <t>D</t>
  </si>
  <si>
    <t>V</t>
  </si>
  <si>
    <t>d</t>
  </si>
  <si>
    <t>I</t>
  </si>
  <si>
    <t>ε</t>
  </si>
  <si>
    <t>A</t>
  </si>
  <si>
    <t>exp</t>
  </si>
  <si>
    <r>
      <t>N</t>
    </r>
    <r>
      <rPr>
        <vertAlign val="subscript"/>
        <sz val="11"/>
        <color theme="1"/>
        <rFont val="Calibri"/>
        <family val="2"/>
      </rPr>
      <t>vv</t>
    </r>
  </si>
  <si>
    <r>
      <t>D</t>
    </r>
    <r>
      <rPr>
        <vertAlign val="subscript"/>
        <sz val="11"/>
        <color theme="1"/>
        <rFont val="Calibri"/>
        <family val="2"/>
      </rPr>
      <t>vv</t>
    </r>
  </si>
  <si>
    <r>
      <t>V</t>
    </r>
    <r>
      <rPr>
        <vertAlign val="subscript"/>
        <sz val="11"/>
        <color theme="1"/>
        <rFont val="Calibri"/>
        <family val="2"/>
      </rPr>
      <t>vv</t>
    </r>
  </si>
  <si>
    <r>
      <t>d</t>
    </r>
    <r>
      <rPr>
        <vertAlign val="subscript"/>
        <sz val="11"/>
        <color theme="1"/>
        <rFont val="Calibri"/>
        <family val="2"/>
      </rPr>
      <t>vv</t>
    </r>
  </si>
  <si>
    <r>
      <t>I</t>
    </r>
    <r>
      <rPr>
        <vertAlign val="subscript"/>
        <sz val="11"/>
        <color theme="1"/>
        <rFont val="Calibri"/>
        <family val="2"/>
      </rPr>
      <t>vv</t>
    </r>
  </si>
  <si>
    <r>
      <rPr>
        <sz val="11"/>
        <color theme="1"/>
        <rFont val="Calibri"/>
        <family val="2"/>
      </rPr>
      <t>μ</t>
    </r>
    <r>
      <rPr>
        <vertAlign val="subscript"/>
        <sz val="11"/>
        <color theme="1"/>
        <rFont val="Calibri"/>
        <family val="2"/>
      </rPr>
      <t>0</t>
    </r>
  </si>
  <si>
    <r>
      <t>N/A</t>
    </r>
    <r>
      <rPr>
        <vertAlign val="superscript"/>
        <sz val="11"/>
        <color rgb="FF008000"/>
        <rFont val="Calibri"/>
        <family val="2"/>
        <scheme val="minor"/>
      </rPr>
      <t>2</t>
    </r>
  </si>
  <si>
    <t>C/kg</t>
  </si>
  <si>
    <t>O valor não é cconsistente com o valor tabelado</t>
  </si>
  <si>
    <t>Trocando os sinais dos erros, a correção melhora, ainda que não seja perfeita.</t>
  </si>
  <si>
    <t>Há um problema com este enunciado. O valor corrigido devia ser (quase) igual ao valor tabelado e não é.</t>
  </si>
  <si>
    <r>
      <t>r</t>
    </r>
    <r>
      <rPr>
        <vertAlign val="subscript"/>
        <sz val="11"/>
        <color theme="1"/>
        <rFont val="Calibri"/>
        <family val="2"/>
      </rPr>
      <t>vv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</si>
</sst>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</font>
    <font>
      <sz val="11"/>
      <color rgb="FF3333FF"/>
      <name val="Calibri"/>
      <family val="2"/>
      <scheme val="minor"/>
    </font>
    <font>
      <b/>
      <sz val="11"/>
      <color rgb="FF3333FF"/>
      <name val="Calibri"/>
      <family val="2"/>
      <scheme val="minor"/>
    </font>
    <font>
      <vertAlign val="superscript"/>
      <sz val="11"/>
      <color rgb="FF008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0" fontId="7" fillId="0" borderId="0" xfId="1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3333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5"/>
  <sheetViews>
    <sheetView tabSelected="1" workbookViewId="0">
      <selection activeCell="B17" sqref="B17"/>
    </sheetView>
  </sheetViews>
  <sheetFormatPr defaultRowHeight="14.5" x14ac:dyDescent="0.35"/>
  <sheetData>
    <row r="3" spans="2:4" x14ac:dyDescent="0.35">
      <c r="B3" s="2" t="s">
        <v>0</v>
      </c>
      <c r="C3" s="5">
        <v>210</v>
      </c>
      <c r="D3" s="1" t="s">
        <v>1</v>
      </c>
    </row>
    <row r="4" spans="2:4" ht="16.5" x14ac:dyDescent="0.45">
      <c r="B4" s="6" t="s">
        <v>2</v>
      </c>
      <c r="C4" s="3">
        <v>-1.0720000000000001</v>
      </c>
      <c r="D4" s="1" t="s">
        <v>1</v>
      </c>
    </row>
    <row r="5" spans="2:4" ht="16.5" x14ac:dyDescent="0.45">
      <c r="B5" s="6" t="s">
        <v>3</v>
      </c>
      <c r="C5" s="8">
        <f>C3-C4</f>
        <v>211.072</v>
      </c>
      <c r="D5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H8"/>
  <sheetViews>
    <sheetView workbookViewId="0">
      <selection activeCell="G5" sqref="G5"/>
    </sheetView>
  </sheetViews>
  <sheetFormatPr defaultRowHeight="14.5" x14ac:dyDescent="0.35"/>
  <sheetData>
    <row r="4" spans="3:8" x14ac:dyDescent="0.35">
      <c r="D4" s="4" t="s">
        <v>1</v>
      </c>
      <c r="E4" s="4" t="s">
        <v>1</v>
      </c>
      <c r="F4" s="4" t="s">
        <v>1</v>
      </c>
    </row>
    <row r="5" spans="3:8" ht="16.5" x14ac:dyDescent="0.45">
      <c r="C5" s="3" t="s">
        <v>4</v>
      </c>
      <c r="D5" s="7" t="s">
        <v>5</v>
      </c>
      <c r="E5" s="3" t="s">
        <v>6</v>
      </c>
      <c r="F5" s="9" t="s">
        <v>10</v>
      </c>
      <c r="G5" s="9" t="s">
        <v>11</v>
      </c>
      <c r="H5" s="9" t="s">
        <v>11</v>
      </c>
    </row>
    <row r="6" spans="3:8" x14ac:dyDescent="0.35">
      <c r="C6" s="3" t="s">
        <v>7</v>
      </c>
      <c r="D6" s="5">
        <v>53.3</v>
      </c>
      <c r="E6" s="3">
        <v>53.104999999999997</v>
      </c>
      <c r="F6" s="8">
        <f>D6-E6</f>
        <v>0.19500000000000028</v>
      </c>
      <c r="G6" s="8">
        <f>F6/ABS(D6)</f>
        <v>3.6585365853658591E-3</v>
      </c>
      <c r="H6" s="10">
        <f>G6</f>
        <v>3.6585365853658591E-3</v>
      </c>
    </row>
    <row r="7" spans="3:8" x14ac:dyDescent="0.35">
      <c r="C7" s="3" t="s">
        <v>8</v>
      </c>
      <c r="D7" s="5">
        <v>-13.5</v>
      </c>
      <c r="E7" s="3">
        <v>-13.023999999999999</v>
      </c>
      <c r="F7" s="8">
        <f t="shared" ref="F7:F8" si="0">D7-E7</f>
        <v>-0.47600000000000087</v>
      </c>
      <c r="G7" s="8">
        <f t="shared" ref="G7:G8" si="1">F7/ABS(D7)</f>
        <v>-3.5259259259259323E-2</v>
      </c>
      <c r="H7" s="10">
        <f t="shared" ref="H7:H8" si="2">G7</f>
        <v>-3.5259259259259323E-2</v>
      </c>
    </row>
    <row r="8" spans="3:8" x14ac:dyDescent="0.35">
      <c r="C8" s="3" t="s">
        <v>9</v>
      </c>
      <c r="D8" s="5">
        <v>93</v>
      </c>
      <c r="E8" s="3">
        <v>96.171999999999997</v>
      </c>
      <c r="F8" s="8">
        <f t="shared" si="0"/>
        <v>-3.171999999999997</v>
      </c>
      <c r="G8" s="8">
        <f t="shared" si="1"/>
        <v>-3.4107526881720397E-2</v>
      </c>
      <c r="H8" s="10">
        <f t="shared" si="2"/>
        <v>-3.4107526881720397E-2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7"/>
  <sheetViews>
    <sheetView workbookViewId="0">
      <selection activeCell="B8" sqref="B8"/>
    </sheetView>
  </sheetViews>
  <sheetFormatPr defaultRowHeight="14.5" x14ac:dyDescent="0.35"/>
  <sheetData>
    <row r="2" spans="2:8" x14ac:dyDescent="0.35">
      <c r="B2" s="2" t="s">
        <v>7</v>
      </c>
      <c r="C2" s="5">
        <v>95.8</v>
      </c>
      <c r="D2" s="1" t="s">
        <v>1</v>
      </c>
      <c r="F2" s="2" t="s">
        <v>7</v>
      </c>
      <c r="G2" s="5">
        <v>95.8</v>
      </c>
      <c r="H2" s="1" t="s">
        <v>1</v>
      </c>
    </row>
    <row r="3" spans="2:8" x14ac:dyDescent="0.35">
      <c r="B3" s="2" t="s">
        <v>12</v>
      </c>
      <c r="C3" s="5">
        <v>2.2999999999999998</v>
      </c>
      <c r="D3" s="1" t="s">
        <v>1</v>
      </c>
      <c r="F3" s="2" t="s">
        <v>12</v>
      </c>
      <c r="G3" s="5">
        <v>2.2999999999999998</v>
      </c>
      <c r="H3" s="1" t="s">
        <v>1</v>
      </c>
    </row>
    <row r="4" spans="2:8" ht="16.5" x14ac:dyDescent="0.45">
      <c r="B4" s="6" t="s">
        <v>13</v>
      </c>
      <c r="C4" s="3">
        <v>0.54</v>
      </c>
      <c r="D4" s="1" t="s">
        <v>1</v>
      </c>
      <c r="F4" s="6" t="s">
        <v>13</v>
      </c>
      <c r="G4" s="3">
        <v>0.54</v>
      </c>
      <c r="H4" s="1" t="s">
        <v>1</v>
      </c>
    </row>
    <row r="5" spans="2:8" ht="16.5" x14ac:dyDescent="0.45">
      <c r="B5" s="6" t="s">
        <v>14</v>
      </c>
      <c r="C5" s="3">
        <v>-0.54</v>
      </c>
      <c r="D5" s="1" t="s">
        <v>1</v>
      </c>
      <c r="F5" s="6" t="s">
        <v>14</v>
      </c>
      <c r="G5" s="3">
        <v>0.54</v>
      </c>
      <c r="H5" s="1" t="s">
        <v>1</v>
      </c>
    </row>
    <row r="6" spans="2:8" ht="16.5" x14ac:dyDescent="0.45">
      <c r="B6" s="6" t="s">
        <v>15</v>
      </c>
      <c r="C6" s="8">
        <f>C2-C3</f>
        <v>93.5</v>
      </c>
      <c r="D6" s="1" t="s">
        <v>1</v>
      </c>
      <c r="F6" s="6" t="s">
        <v>15</v>
      </c>
      <c r="G6" s="8">
        <f>G2-G3</f>
        <v>93.5</v>
      </c>
      <c r="H6" s="1" t="s">
        <v>1</v>
      </c>
    </row>
    <row r="7" spans="2:8" ht="16.5" x14ac:dyDescent="0.45">
      <c r="B7" s="6" t="s">
        <v>16</v>
      </c>
      <c r="C7" s="8">
        <f>C4+C5</f>
        <v>0</v>
      </c>
      <c r="D7" s="1" t="s">
        <v>1</v>
      </c>
      <c r="F7" s="6" t="s">
        <v>16</v>
      </c>
      <c r="G7" s="8">
        <f>G4+G5</f>
        <v>1.08</v>
      </c>
      <c r="H7" s="1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G8"/>
  <sheetViews>
    <sheetView workbookViewId="0">
      <selection activeCell="D10" sqref="D10"/>
    </sheetView>
  </sheetViews>
  <sheetFormatPr defaultRowHeight="14.5" x14ac:dyDescent="0.35"/>
  <sheetData>
    <row r="3" spans="3:7" x14ac:dyDescent="0.35">
      <c r="D3" s="4" t="s">
        <v>17</v>
      </c>
      <c r="E3" s="4" t="s">
        <v>18</v>
      </c>
      <c r="F3" s="4" t="s">
        <v>20</v>
      </c>
      <c r="G3" s="4" t="s">
        <v>20</v>
      </c>
    </row>
    <row r="4" spans="3:7" ht="16.5" x14ac:dyDescent="0.45">
      <c r="D4" s="3" t="s">
        <v>7</v>
      </c>
      <c r="E4" s="3" t="s">
        <v>19</v>
      </c>
      <c r="F4" s="9" t="s">
        <v>22</v>
      </c>
      <c r="G4" s="9" t="s">
        <v>23</v>
      </c>
    </row>
    <row r="5" spans="3:7" x14ac:dyDescent="0.35">
      <c r="D5" s="5">
        <v>3</v>
      </c>
      <c r="E5" s="5">
        <v>2</v>
      </c>
      <c r="G5" s="8">
        <f>D5/E5</f>
        <v>1.5</v>
      </c>
    </row>
    <row r="6" spans="3:7" x14ac:dyDescent="0.35">
      <c r="D6" s="5">
        <v>4</v>
      </c>
      <c r="E6" s="5">
        <v>3</v>
      </c>
      <c r="G6" s="8">
        <f>D6/E6</f>
        <v>1.3333333333333333</v>
      </c>
    </row>
    <row r="7" spans="3:7" x14ac:dyDescent="0.35">
      <c r="D7" s="5">
        <v>5</v>
      </c>
      <c r="E7" s="5">
        <v>3.5</v>
      </c>
      <c r="G7" s="8">
        <f>D7/E7</f>
        <v>1.4285714285714286</v>
      </c>
    </row>
    <row r="8" spans="3:7" x14ac:dyDescent="0.35">
      <c r="C8" s="2" t="s">
        <v>21</v>
      </c>
      <c r="D8" s="8">
        <f>AVERAGE(D5:D7)</f>
        <v>4</v>
      </c>
      <c r="E8" s="8">
        <f>AVERAGE(E5:E7)</f>
        <v>2.8333333333333335</v>
      </c>
      <c r="F8" s="11">
        <f t="shared" ref="F6:F8" si="0">D8/E8</f>
        <v>1.4117647058823528</v>
      </c>
      <c r="G8" s="11">
        <f>AVERAGE(G5:G7)</f>
        <v>1.4206349206349207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1"/>
  <sheetViews>
    <sheetView workbookViewId="0">
      <selection activeCell="B3" sqref="B3"/>
    </sheetView>
  </sheetViews>
  <sheetFormatPr defaultRowHeight="14.5" x14ac:dyDescent="0.35"/>
  <sheetData>
    <row r="2" spans="2:11" ht="16.5" x14ac:dyDescent="0.45">
      <c r="B2" s="6" t="s">
        <v>24</v>
      </c>
      <c r="C2" s="3">
        <v>6.4</v>
      </c>
      <c r="D2" s="1" t="s">
        <v>26</v>
      </c>
    </row>
    <row r="3" spans="2:11" ht="16.5" x14ac:dyDescent="0.45">
      <c r="B3" s="6" t="s">
        <v>25</v>
      </c>
      <c r="C3" s="3">
        <v>12</v>
      </c>
      <c r="D3" s="1" t="s">
        <v>26</v>
      </c>
    </row>
    <row r="4" spans="2:11" ht="16.5" x14ac:dyDescent="0.45">
      <c r="B4" s="6" t="s">
        <v>31</v>
      </c>
      <c r="C4" s="8">
        <f>C3/C2</f>
        <v>1.875</v>
      </c>
      <c r="D4" s="1"/>
    </row>
    <row r="6" spans="2:11" x14ac:dyDescent="0.35">
      <c r="C6" s="4" t="s">
        <v>26</v>
      </c>
      <c r="D6" s="4" t="s">
        <v>26</v>
      </c>
      <c r="E6" s="4" t="s">
        <v>1</v>
      </c>
      <c r="F6" s="4" t="s">
        <v>1</v>
      </c>
    </row>
    <row r="7" spans="2:11" ht="16.5" x14ac:dyDescent="0.45">
      <c r="C7" s="9" t="s">
        <v>27</v>
      </c>
      <c r="D7" s="9" t="s">
        <v>28</v>
      </c>
      <c r="E7" s="9" t="s">
        <v>29</v>
      </c>
      <c r="F7" s="9" t="s">
        <v>30</v>
      </c>
      <c r="G7" s="9" t="s">
        <v>34</v>
      </c>
      <c r="H7" s="9" t="s">
        <v>35</v>
      </c>
      <c r="I7" s="9" t="s">
        <v>32</v>
      </c>
      <c r="J7" s="9" t="s">
        <v>33</v>
      </c>
      <c r="K7" s="9" t="s">
        <v>36</v>
      </c>
    </row>
    <row r="8" spans="2:11" x14ac:dyDescent="0.35">
      <c r="C8" s="5">
        <v>1</v>
      </c>
      <c r="D8" s="5">
        <v>-1</v>
      </c>
      <c r="E8" s="8">
        <f>$C$2+C8</f>
        <v>7.4</v>
      </c>
      <c r="F8" s="8">
        <f>$C$2+D8</f>
        <v>5.4</v>
      </c>
      <c r="G8" s="8">
        <f>$C$3/E8</f>
        <v>1.6216216216216215</v>
      </c>
      <c r="H8" s="8">
        <f>$C$3/F8</f>
        <v>2.2222222222222219</v>
      </c>
      <c r="I8" s="8">
        <f>G8-$C$4</f>
        <v>-0.25337837837837851</v>
      </c>
      <c r="J8" s="8">
        <f>H8-$C$4</f>
        <v>0.34722222222222188</v>
      </c>
      <c r="K8" s="10">
        <f>(I8+J8)/((J8-I8)/2)</f>
        <v>0.3124999999999985</v>
      </c>
    </row>
    <row r="9" spans="2:11" x14ac:dyDescent="0.35">
      <c r="C9" s="5">
        <v>0.1</v>
      </c>
      <c r="D9" s="5">
        <v>-0.1</v>
      </c>
      <c r="E9" s="8">
        <f>$C$2+C9</f>
        <v>6.5</v>
      </c>
      <c r="F9" s="8">
        <f>$C$2+D9</f>
        <v>6.3000000000000007</v>
      </c>
      <c r="G9" s="8">
        <f>$C$3/E9</f>
        <v>1.8461538461538463</v>
      </c>
      <c r="H9" s="8">
        <f>$C$3/F9</f>
        <v>1.9047619047619047</v>
      </c>
      <c r="I9" s="8">
        <f>G9-$C$4</f>
        <v>-2.8846153846153744E-2</v>
      </c>
      <c r="J9" s="8">
        <f>H9-$C$4</f>
        <v>2.9761904761904656E-2</v>
      </c>
      <c r="K9" s="10">
        <f t="shared" ref="K9:K11" si="0">(I9+J9)/((J9-I9)/2)</f>
        <v>3.125E-2</v>
      </c>
    </row>
    <row r="10" spans="2:11" x14ac:dyDescent="0.35">
      <c r="C10" s="5">
        <v>0.01</v>
      </c>
      <c r="D10" s="5">
        <v>-0.01</v>
      </c>
      <c r="E10" s="8">
        <f>$C$2+C10</f>
        <v>6.41</v>
      </c>
      <c r="F10" s="8">
        <f>$C$2+D10</f>
        <v>6.3900000000000006</v>
      </c>
      <c r="G10" s="8">
        <f>$C$3/E10</f>
        <v>1.8720748829953198</v>
      </c>
      <c r="H10" s="8">
        <f>$C$3/F10</f>
        <v>1.8779342723004693</v>
      </c>
      <c r="I10" s="8">
        <f>G10-$C$4</f>
        <v>-2.9251170046802333E-3</v>
      </c>
      <c r="J10" s="8">
        <f>H10-$C$4</f>
        <v>2.9342723004692761E-3</v>
      </c>
      <c r="K10" s="10">
        <f t="shared" si="0"/>
        <v>3.1249999999135507E-3</v>
      </c>
    </row>
    <row r="11" spans="2:11" x14ac:dyDescent="0.35">
      <c r="C11" s="5">
        <v>1E-3</v>
      </c>
      <c r="D11" s="5">
        <v>-1E-3</v>
      </c>
      <c r="E11" s="8">
        <f>$C$2+C11</f>
        <v>6.4010000000000007</v>
      </c>
      <c r="F11" s="8">
        <f>$C$2+D11</f>
        <v>6.399</v>
      </c>
      <c r="G11" s="8">
        <f>$C$3/E11</f>
        <v>1.8747070770192156</v>
      </c>
      <c r="H11" s="8">
        <f>$C$3/F11</f>
        <v>1.8752930145335209</v>
      </c>
      <c r="I11" s="8">
        <f>G11-$C$4</f>
        <v>-2.9292298078442691E-4</v>
      </c>
      <c r="J11" s="8">
        <f>H11-$C$4</f>
        <v>2.9301453352092999E-4</v>
      </c>
      <c r="K11" s="10">
        <f t="shared" si="0"/>
        <v>3.1249999963430734E-4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4"/>
  <sheetViews>
    <sheetView workbookViewId="0">
      <selection activeCell="F20" sqref="F20"/>
    </sheetView>
  </sheetViews>
  <sheetFormatPr defaultRowHeight="14.5" x14ac:dyDescent="0.35"/>
  <cols>
    <col min="3" max="3" width="11.81640625" bestFit="1" customWidth="1"/>
  </cols>
  <sheetData>
    <row r="2" spans="2:10" ht="17.5" x14ac:dyDescent="0.45">
      <c r="B2" s="6" t="s">
        <v>50</v>
      </c>
      <c r="C2" s="3">
        <f>4*PI()*0.0000001</f>
        <v>1.2566370614359173E-6</v>
      </c>
      <c r="D2" s="1" t="s">
        <v>51</v>
      </c>
    </row>
    <row r="4" spans="2:10" x14ac:dyDescent="0.35">
      <c r="C4" s="3" t="s">
        <v>44</v>
      </c>
      <c r="D4" s="9" t="s">
        <v>42</v>
      </c>
      <c r="H4" s="3" t="s">
        <v>44</v>
      </c>
      <c r="I4" s="9" t="s">
        <v>42</v>
      </c>
    </row>
    <row r="5" spans="2:10" x14ac:dyDescent="0.35">
      <c r="B5" s="6" t="s">
        <v>37</v>
      </c>
      <c r="C5" s="3">
        <v>72</v>
      </c>
      <c r="D5" s="7"/>
      <c r="E5" s="1"/>
      <c r="G5" s="6" t="s">
        <v>37</v>
      </c>
      <c r="H5" s="3">
        <v>72</v>
      </c>
      <c r="I5" s="7"/>
      <c r="J5" s="1"/>
    </row>
    <row r="6" spans="2:10" x14ac:dyDescent="0.35">
      <c r="B6" s="6" t="s">
        <v>38</v>
      </c>
      <c r="C6" s="5">
        <v>661</v>
      </c>
      <c r="D6" s="7">
        <v>2</v>
      </c>
      <c r="E6" s="1" t="s">
        <v>26</v>
      </c>
      <c r="G6" s="6" t="s">
        <v>38</v>
      </c>
      <c r="H6" s="5">
        <v>661</v>
      </c>
      <c r="I6" s="7">
        <v>-2</v>
      </c>
      <c r="J6" s="1" t="s">
        <v>26</v>
      </c>
    </row>
    <row r="7" spans="2:10" x14ac:dyDescent="0.35">
      <c r="B7" s="6" t="s">
        <v>39</v>
      </c>
      <c r="C7" s="5">
        <v>45</v>
      </c>
      <c r="D7" s="7">
        <v>-2.2999999999999998</v>
      </c>
      <c r="E7" s="1" t="s">
        <v>39</v>
      </c>
      <c r="G7" s="6" t="s">
        <v>39</v>
      </c>
      <c r="H7" s="5">
        <v>45</v>
      </c>
      <c r="I7" s="7">
        <v>2.2999999999999998</v>
      </c>
      <c r="J7" s="1" t="s">
        <v>39</v>
      </c>
    </row>
    <row r="8" spans="2:10" x14ac:dyDescent="0.35">
      <c r="B8" s="6" t="s">
        <v>40</v>
      </c>
      <c r="C8" s="5">
        <v>91.4</v>
      </c>
      <c r="D8" s="7">
        <v>-0.5</v>
      </c>
      <c r="E8" s="1" t="s">
        <v>26</v>
      </c>
      <c r="G8" s="6" t="s">
        <v>40</v>
      </c>
      <c r="H8" s="5">
        <v>91.4</v>
      </c>
      <c r="I8" s="7">
        <v>0.5</v>
      </c>
      <c r="J8" s="1" t="s">
        <v>26</v>
      </c>
    </row>
    <row r="9" spans="2:10" x14ac:dyDescent="0.35">
      <c r="B9" s="6" t="s">
        <v>41</v>
      </c>
      <c r="C9" s="5">
        <v>2.48</v>
      </c>
      <c r="D9" s="7">
        <v>0.04</v>
      </c>
      <c r="E9" s="1" t="s">
        <v>43</v>
      </c>
      <c r="G9" s="6" t="s">
        <v>41</v>
      </c>
      <c r="H9" s="5">
        <v>2.48</v>
      </c>
      <c r="I9" s="7">
        <v>-0.04</v>
      </c>
      <c r="J9" s="1" t="s">
        <v>43</v>
      </c>
    </row>
    <row r="11" spans="2:10" ht="16.5" x14ac:dyDescent="0.45">
      <c r="B11" s="6" t="s">
        <v>56</v>
      </c>
      <c r="C11" s="12">
        <f>125/32/$C$2^2/C5^2*(C6/C8)^2*C7/C9^2</f>
        <v>182597569891.54703</v>
      </c>
      <c r="D11" s="1" t="s">
        <v>52</v>
      </c>
      <c r="G11" s="6" t="s">
        <v>56</v>
      </c>
      <c r="H11" s="12">
        <f>125/32/$C$2^2/H5^2*(H6/H8)^2*H7/H9^2</f>
        <v>182597569891.54703</v>
      </c>
      <c r="I11" s="1" t="s">
        <v>52</v>
      </c>
    </row>
    <row r="13" spans="2:10" ht="16.5" x14ac:dyDescent="0.45">
      <c r="B13" s="6" t="s">
        <v>45</v>
      </c>
      <c r="C13" s="8">
        <f>C5-D5</f>
        <v>72</v>
      </c>
      <c r="D13" s="1"/>
      <c r="G13" s="6" t="s">
        <v>45</v>
      </c>
      <c r="H13" s="8">
        <f>H5-I5</f>
        <v>72</v>
      </c>
      <c r="I13" s="1"/>
    </row>
    <row r="14" spans="2:10" ht="16.5" x14ac:dyDescent="0.45">
      <c r="B14" s="6" t="s">
        <v>46</v>
      </c>
      <c r="C14" s="8">
        <f t="shared" ref="C14:C17" si="0">C6-D6</f>
        <v>659</v>
      </c>
      <c r="D14" s="1" t="s">
        <v>26</v>
      </c>
      <c r="G14" s="6" t="s">
        <v>46</v>
      </c>
      <c r="H14" s="8">
        <f t="shared" ref="H14:H17" si="1">H6-I6</f>
        <v>663</v>
      </c>
      <c r="I14" s="1" t="s">
        <v>26</v>
      </c>
    </row>
    <row r="15" spans="2:10" ht="16.5" x14ac:dyDescent="0.45">
      <c r="B15" s="6" t="s">
        <v>47</v>
      </c>
      <c r="C15" s="8">
        <f t="shared" si="0"/>
        <v>47.3</v>
      </c>
      <c r="D15" s="1" t="s">
        <v>39</v>
      </c>
      <c r="G15" s="6" t="s">
        <v>47</v>
      </c>
      <c r="H15" s="8">
        <f t="shared" si="1"/>
        <v>42.7</v>
      </c>
      <c r="I15" s="1" t="s">
        <v>39</v>
      </c>
    </row>
    <row r="16" spans="2:10" ht="16.5" x14ac:dyDescent="0.45">
      <c r="B16" s="6" t="s">
        <v>48</v>
      </c>
      <c r="C16" s="8">
        <f t="shared" si="0"/>
        <v>91.9</v>
      </c>
      <c r="D16" s="1" t="s">
        <v>26</v>
      </c>
      <c r="G16" s="6" t="s">
        <v>48</v>
      </c>
      <c r="H16" s="8">
        <f t="shared" si="1"/>
        <v>90.9</v>
      </c>
      <c r="I16" s="1" t="s">
        <v>26</v>
      </c>
    </row>
    <row r="17" spans="2:9" ht="16.5" x14ac:dyDescent="0.45">
      <c r="B17" s="6" t="s">
        <v>49</v>
      </c>
      <c r="C17" s="8">
        <f t="shared" si="0"/>
        <v>2.44</v>
      </c>
      <c r="D17" s="1" t="s">
        <v>43</v>
      </c>
      <c r="G17" s="6" t="s">
        <v>49</v>
      </c>
      <c r="H17" s="8">
        <f t="shared" si="1"/>
        <v>2.52</v>
      </c>
      <c r="I17" s="1" t="s">
        <v>43</v>
      </c>
    </row>
    <row r="19" spans="2:9" ht="16.5" x14ac:dyDescent="0.45">
      <c r="B19" s="6" t="s">
        <v>56</v>
      </c>
      <c r="C19" s="12">
        <f>125/32/$C$2^2/C13^2*(C14/C16)^2*C15/C17^2</f>
        <v>194938045884.92529</v>
      </c>
      <c r="D19" s="1" t="s">
        <v>52</v>
      </c>
      <c r="G19" s="6" t="s">
        <v>56</v>
      </c>
      <c r="H19" s="12">
        <f>125/32/$C$2^2/H13^2*(H14/H16)^2*H15/H17^2</f>
        <v>170687374282.03903</v>
      </c>
      <c r="I19" s="1" t="s">
        <v>52</v>
      </c>
    </row>
    <row r="22" spans="2:9" x14ac:dyDescent="0.35">
      <c r="B22" t="s">
        <v>53</v>
      </c>
      <c r="G22" t="s">
        <v>54</v>
      </c>
    </row>
    <row r="24" spans="2:9" x14ac:dyDescent="0.35">
      <c r="B24" t="s">
        <v>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F21B70640A2E45B73D6603D386F931" ma:contentTypeVersion="14" ma:contentTypeDescription="Criar um novo documento." ma:contentTypeScope="" ma:versionID="cb8e284076328c6c06c9c918404effe8">
  <xsd:schema xmlns:xsd="http://www.w3.org/2001/XMLSchema" xmlns:xs="http://www.w3.org/2001/XMLSchema" xmlns:p="http://schemas.microsoft.com/office/2006/metadata/properties" xmlns:ns3="b81fc94e-6345-4919-8801-cb2453a9716a" xmlns:ns4="7c284bd3-9d49-4966-bb9a-4f9a50667e8c" targetNamespace="http://schemas.microsoft.com/office/2006/metadata/properties" ma:root="true" ma:fieldsID="aa5d50224a109e2156ea85e3c4f35d50" ns3:_="" ns4:_="">
    <xsd:import namespace="b81fc94e-6345-4919-8801-cb2453a9716a"/>
    <xsd:import namespace="7c284bd3-9d49-4966-bb9a-4f9a50667e8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1fc94e-6345-4919-8801-cb2453a971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84bd3-9d49-4966-bb9a-4f9a50667e8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Hash de Sugestão de Partilh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81fc94e-6345-4919-8801-cb2453a9716a" xsi:nil="true"/>
  </documentManagement>
</p:properties>
</file>

<file path=customXml/itemProps1.xml><?xml version="1.0" encoding="utf-8"?>
<ds:datastoreItem xmlns:ds="http://schemas.openxmlformats.org/officeDocument/2006/customXml" ds:itemID="{0EBCE922-31FE-4791-8C1C-5CBC4FF55D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1fc94e-6345-4919-8801-cb2453a9716a"/>
    <ds:schemaRef ds:uri="7c284bd3-9d49-4966-bb9a-4f9a50667e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1BBC7B-91CF-483F-9887-A25F684AE4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F64E56-8898-4AFC-B0A0-756E280A02C0}">
  <ds:schemaRefs>
    <ds:schemaRef ds:uri="http://schemas.openxmlformats.org/package/2006/metadata/core-properties"/>
    <ds:schemaRef ds:uri="7c284bd3-9d49-4966-bb9a-4f9a50667e8c"/>
    <ds:schemaRef ds:uri="http://www.w3.org/XML/1998/namespace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b81fc94e-6345-4919-8801-cb2453a9716a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Prob_1</vt:lpstr>
      <vt:lpstr>Prob_2</vt:lpstr>
      <vt:lpstr>Prob_3</vt:lpstr>
      <vt:lpstr>Prob_4</vt:lpstr>
      <vt:lpstr>Prob_5</vt:lpstr>
      <vt:lpstr>Prob_6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</dc:creator>
  <cp:lastModifiedBy>Vicente</cp:lastModifiedBy>
  <dcterms:created xsi:type="dcterms:W3CDTF">2023-10-22T10:10:31Z</dcterms:created>
  <dcterms:modified xsi:type="dcterms:W3CDTF">2023-10-22T11:26:02Z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0x010100F1F21B70640A2E45B73D6603D386F931</vt:lpwstr>
  </property>
</Properties>
</file>