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cente\OneDrive - Universidade do Minho\Documentos\Alunos\2324\IFE\Aulas_T\Aula_09_15-novembro_Médias e erros sistemáticos\"/>
    </mc:Choice>
  </mc:AlternateContent>
  <bookViews>
    <workbookView xWindow="0" yWindow="0" windowWidth="20980" windowHeight="17560"/>
  </bookViews>
  <sheets>
    <sheet name="Prob_1" sheetId="1" r:id="rId1"/>
    <sheet name="Prob_2" sheetId="2" r:id="rId2"/>
    <sheet name="Prob_3" sheetId="3" r:id="rId3"/>
    <sheet name="Prob_4" sheetId="4" r:id="rId4"/>
    <sheet name="Prob_5" sheetId="5" r:id="rId5"/>
    <sheet name="Prob_6" sheetId="9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9" l="1"/>
  <c r="C18" i="9"/>
  <c r="F9" i="9"/>
  <c r="C9" i="9"/>
  <c r="D31" i="5"/>
  <c r="D27" i="5"/>
  <c r="G18" i="5"/>
  <c r="I18" i="5" s="1"/>
  <c r="D18" i="5"/>
  <c r="E27" i="5" l="1"/>
  <c r="F26" i="5" s="1"/>
  <c r="C20" i="3"/>
  <c r="C21" i="3" s="1"/>
  <c r="D15" i="2" l="1"/>
  <c r="C15" i="2"/>
  <c r="C13" i="2"/>
  <c r="E9" i="2"/>
  <c r="D13" i="2" s="1"/>
  <c r="E10" i="2"/>
  <c r="E8" i="2"/>
  <c r="C26" i="1" a="1"/>
  <c r="C26" i="1" s="1"/>
  <c r="C25" i="1"/>
  <c r="C24" i="1"/>
  <c r="C9" i="1"/>
  <c r="C8" i="1"/>
  <c r="C21" i="1" s="1"/>
  <c r="C10" i="1" l="1" a="1"/>
  <c r="C10" i="1" s="1"/>
  <c r="C19" i="1" l="1"/>
  <c r="C20" i="1" s="1"/>
  <c r="E21" i="1" l="1"/>
</calcChain>
</file>

<file path=xl/sharedStrings.xml><?xml version="1.0" encoding="utf-8"?>
<sst xmlns="http://schemas.openxmlformats.org/spreadsheetml/2006/main" count="136" uniqueCount="79">
  <si>
    <t>s</t>
  </si>
  <si>
    <t>T</t>
  </si>
  <si>
    <t>g</t>
  </si>
  <si>
    <t>a)</t>
  </si>
  <si>
    <t>b)</t>
  </si>
  <si>
    <t>±</t>
  </si>
  <si>
    <t>η</t>
  </si>
  <si>
    <t>valor</t>
  </si>
  <si>
    <t>mA</t>
  </si>
  <si>
    <t>inc.padr.</t>
  </si>
  <si>
    <t>Tempos</t>
  </si>
  <si>
    <t>&lt;t&gt;</t>
  </si>
  <si>
    <r>
      <rPr>
        <sz val="11"/>
        <color theme="1"/>
        <rFont val="Calibri"/>
        <family val="2"/>
      </rPr>
      <t>Σt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/N</t>
    </r>
  </si>
  <si>
    <r>
      <t>s</t>
    </r>
    <r>
      <rPr>
        <vertAlign val="superscript"/>
        <sz val="11"/>
        <color rgb="FF008000"/>
        <rFont val="Calibri"/>
        <family val="2"/>
        <scheme val="minor"/>
      </rPr>
      <t>2</t>
    </r>
  </si>
  <si>
    <t>N</t>
  </si>
  <si>
    <r>
      <t>u</t>
    </r>
    <r>
      <rPr>
        <vertAlign val="subscript"/>
        <sz val="11"/>
        <color theme="1"/>
        <rFont val="Calibri"/>
        <family val="2"/>
        <scheme val="minor"/>
      </rPr>
      <t>t</t>
    </r>
  </si>
  <si>
    <r>
      <t>u</t>
    </r>
    <r>
      <rPr>
        <vertAlign val="subscript"/>
        <sz val="11"/>
        <color theme="1"/>
        <rFont val="Calibri"/>
        <family val="2"/>
        <scheme val="minor"/>
      </rPr>
      <t>&lt;t&gt;</t>
    </r>
  </si>
  <si>
    <t xml:space="preserve">t = </t>
  </si>
  <si>
    <t>% valor</t>
  </si>
  <si>
    <t>x resolução</t>
  </si>
  <si>
    <t>Cálculo da incerteza da corrente medida pelo multímetro (dados do fabricante):</t>
  </si>
  <si>
    <r>
      <t>I</t>
    </r>
    <r>
      <rPr>
        <vertAlign val="subscript"/>
        <sz val="11"/>
        <color theme="1"/>
        <rFont val="Calibri"/>
        <family val="2"/>
        <scheme val="minor"/>
      </rPr>
      <t>1</t>
    </r>
  </si>
  <si>
    <r>
      <t>I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/>
    </r>
  </si>
  <si>
    <r>
      <t>I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/>
    </r>
  </si>
  <si>
    <t>resolução</t>
  </si>
  <si>
    <r>
      <t>I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+I</t>
    </r>
    <r>
      <rPr>
        <vertAlign val="subscript"/>
        <sz val="11"/>
        <color theme="1"/>
        <rFont val="Calibri"/>
        <family val="2"/>
        <scheme val="minor"/>
      </rPr>
      <t>3</t>
    </r>
  </si>
  <si>
    <r>
      <t>I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</rPr>
      <t>−</t>
    </r>
    <r>
      <rPr>
        <sz val="11"/>
        <color theme="1"/>
        <rFont val="Calibri"/>
        <family val="2"/>
        <scheme val="minor"/>
      </rPr>
      <t>I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+I</t>
    </r>
    <r>
      <rPr>
        <vertAlign val="subscript"/>
        <sz val="11"/>
        <color theme="1"/>
        <rFont val="Calibri"/>
        <family val="2"/>
        <scheme val="minor"/>
      </rPr>
      <t>3</t>
    </r>
  </si>
  <si>
    <t>Este valor deve dar zero para a lei dos nós se verificar.</t>
  </si>
  <si>
    <t>Tendo em conta que o valor é  menor do que a incerteza padrão,</t>
  </si>
  <si>
    <t>estes dados não invalidam a lei dos nós.</t>
  </si>
  <si>
    <t>Genericamente sim.</t>
  </si>
  <si>
    <t>Falso. A indicação do fabricante é realista ou, quando muito, pessimista</t>
  </si>
  <si>
    <t>Falso. A corrente tem que passar pelo amperímetro (=multímetro a medir correntes) e isso</t>
  </si>
  <si>
    <t>implica inserir o amperímetro em série (temos de desligar um fio e reestabelecer a ligação</t>
  </si>
  <si>
    <t>através do amperímetro).</t>
  </si>
  <si>
    <t>Sim… Notem que não é possível provar experimentalmente a lei dos nós, mas é possível</t>
  </si>
  <si>
    <t>verificar se os dados experimentais não a põe em causa. Isso implica um procedimento</t>
  </si>
  <si>
    <t>experimental rigorso. A lei dos nós pode ser verificada diretamente (situção que está implícita</t>
  </si>
  <si>
    <t>na questão) ou indiretamente. No segundo caso as condições do ponto 4 não são necessárias.</t>
  </si>
  <si>
    <t>Por exemplo, podemos usar um amperímetro com resistência interna não despresável e</t>
  </si>
  <si>
    <t>entrar em conta com o efeito que essa resistência tem nos dados.</t>
  </si>
  <si>
    <t>ρ</t>
  </si>
  <si>
    <t>incerteza
padrão
relativa</t>
  </si>
  <si>
    <r>
      <t>r</t>
    </r>
    <r>
      <rPr>
        <vertAlign val="superscript"/>
        <sz val="11"/>
        <color theme="1"/>
        <rFont val="Calibri"/>
        <family val="2"/>
      </rPr>
      <t>4</t>
    </r>
  </si>
  <si>
    <t>L</t>
  </si>
  <si>
    <t>Q/h</t>
  </si>
  <si>
    <t>r</t>
  </si>
  <si>
    <t>r. É sem dúvida a fonte de incerteza dominante nesta medição.</t>
  </si>
  <si>
    <t>Reduzir as outras fontes de incerteza tem pouco impacto na incerteza final.</t>
  </si>
  <si>
    <t>1.</t>
  </si>
  <si>
    <t>2.</t>
  </si>
  <si>
    <t>Uma leitura de 10 cilindros em linha</t>
  </si>
  <si>
    <t>Média de 10 leituras de 1 cilindro</t>
  </si>
  <si>
    <t>Conclusão: supondo que a incerteza padrão absoluta é a mesma para todas as medições, o primeiro método</t>
  </si>
  <si>
    <t>dá um valor com uma incerteza menor para o comprimento dos cilindros.</t>
  </si>
  <si>
    <t>Conclusão: supondo que a incerteza padrão absoluta é a mesma para todas as medições, o segundo método</t>
  </si>
  <si>
    <t>método 1</t>
  </si>
  <si>
    <t>h</t>
  </si>
  <si>
    <t>t</t>
  </si>
  <si>
    <t>Incerteza
padrão
relativa</t>
  </si>
  <si>
    <t>método 2</t>
  </si>
  <si>
    <t>aux</t>
  </si>
  <si>
    <t>O método 2 permite determinar g com uma incerteza relativa 4.5 vezes menor.</t>
  </si>
  <si>
    <t>Incerteza
desejada</t>
  </si>
  <si>
    <t>Incerteza
necessária</t>
  </si>
  <si>
    <t>A incerteza necessária deverá resultar de uma média de N valores:</t>
  </si>
  <si>
    <t>Será necessário efetuar 400 medições e fazer a média.</t>
  </si>
  <si>
    <t xml:space="preserve">Tendo em conta que certamente haverá erros sistemáticos, </t>
  </si>
  <si>
    <t>cuja incerteza não se reduz ao efetuar a média,</t>
  </si>
  <si>
    <t>esta meta parece irrealista.</t>
  </si>
  <si>
    <r>
      <t>u</t>
    </r>
    <r>
      <rPr>
        <vertAlign val="subscript"/>
        <sz val="11"/>
        <color theme="1"/>
        <rFont val="Calibri"/>
        <family val="2"/>
        <scheme val="minor"/>
      </rPr>
      <t>c</t>
    </r>
  </si>
  <si>
    <r>
      <t>u</t>
    </r>
    <r>
      <rPr>
        <vertAlign val="subscript"/>
        <sz val="11"/>
        <color theme="1"/>
        <rFont val="Calibri"/>
        <family val="2"/>
        <scheme val="minor"/>
      </rPr>
      <t>x</t>
    </r>
  </si>
  <si>
    <t>u</t>
  </si>
  <si>
    <t>aparelho 1</t>
  </si>
  <si>
    <t>aparelho 2</t>
  </si>
  <si>
    <t>Com uma única medição, o aparelho 2 apresenta uma incerteza menor.</t>
  </si>
  <si>
    <t>Com 100 medições, o aparelho 1 apresenta uma incerteza menor.</t>
  </si>
  <si>
    <t>A vantagem do aparelho 1 deveu-se a ter uma incerteza sistemática menor.</t>
  </si>
  <si>
    <t>Notem que a incerteza sistemática não se reduz ao repetir a medição e fazer a média.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</si>
</sst>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5" formatCode="0.000"/>
    <numFmt numFmtId="166" formatCode="0.0"/>
    <numFmt numFmtId="171" formatCode="0.000%"/>
  </numFmts>
  <fonts count="13" x14ac:knownFonts="1">
    <font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1"/>
      <name val="Calibri"/>
      <family val="2"/>
    </font>
    <font>
      <sz val="11"/>
      <color rgb="FF3333FF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008000"/>
      <name val="Calibri"/>
      <family val="2"/>
    </font>
    <font>
      <sz val="11"/>
      <name val="Calibri"/>
      <family val="2"/>
      <scheme val="minor"/>
    </font>
    <font>
      <vertAlign val="superscript"/>
      <sz val="11"/>
      <color theme="1"/>
      <name val="Calibri"/>
      <family val="2"/>
    </font>
    <font>
      <b/>
      <sz val="11"/>
      <color rgb="FF3333FF"/>
      <name val="Calibri"/>
      <family val="2"/>
      <scheme val="minor"/>
    </font>
    <font>
      <sz val="11"/>
      <name val="Calibri"/>
      <family val="2"/>
    </font>
    <font>
      <vertAlign val="superscript"/>
      <sz val="11"/>
      <color rgb="FF0080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/>
    <xf numFmtId="2" fontId="2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9" fillId="0" borderId="0" xfId="0" applyFont="1"/>
    <xf numFmtId="0" fontId="10" fillId="0" borderId="0" xfId="0" applyFont="1" applyAlignment="1">
      <alignment horizontal="center"/>
    </xf>
    <xf numFmtId="0" fontId="4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0" fontId="10" fillId="0" borderId="0" xfId="0" applyFont="1"/>
    <xf numFmtId="9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10" fontId="9" fillId="0" borderId="0" xfId="0" applyNumberFormat="1" applyFont="1" applyAlignment="1">
      <alignment horizontal="center"/>
    </xf>
    <xf numFmtId="0" fontId="0" fillId="0" borderId="0" xfId="0" quotePrefix="1" applyAlignment="1">
      <alignment horizontal="right"/>
    </xf>
    <xf numFmtId="10" fontId="4" fillId="0" borderId="0" xfId="1" applyNumberFormat="1" applyFont="1" applyAlignment="1">
      <alignment horizontal="center"/>
    </xf>
    <xf numFmtId="10" fontId="4" fillId="2" borderId="0" xfId="1" applyNumberFormat="1" applyFont="1" applyFill="1" applyAlignment="1">
      <alignment horizontal="center"/>
    </xf>
    <xf numFmtId="0" fontId="0" fillId="0" borderId="0" xfId="0" applyAlignment="1">
      <alignment wrapText="1"/>
    </xf>
    <xf numFmtId="171" fontId="4" fillId="0" borderId="0" xfId="1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333FF"/>
      <color rgb="FFCC00CC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98425</xdr:colOff>
      <xdr:row>7</xdr:row>
      <xdr:rowOff>19050</xdr:rowOff>
    </xdr:from>
    <xdr:ext cx="23557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2536825" y="1308100"/>
              <a:ext cx="2355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̅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acc>
                  </m:oMath>
                </m:oMathPara>
              </a14:m>
              <a:endParaRPr lang="pt-PT" sz="11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2536825" y="1308100"/>
              <a:ext cx="2355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=𝑡 ̅</a:t>
              </a:r>
              <a:endParaRPr lang="pt-PT" sz="1100"/>
            </a:p>
          </xdr:txBody>
        </xdr:sp>
      </mc:Fallback>
    </mc:AlternateContent>
    <xdr:clientData/>
  </xdr:oneCellAnchor>
  <xdr:oneCellAnchor>
    <xdr:from>
      <xdr:col>4</xdr:col>
      <xdr:colOff>117475</xdr:colOff>
      <xdr:row>9</xdr:row>
      <xdr:rowOff>25400</xdr:rowOff>
    </xdr:from>
    <xdr:ext cx="305468" cy="1886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/>
            <xdr:cNvSpPr txBox="1"/>
          </xdr:nvSpPr>
          <xdr:spPr>
            <a:xfrm>
              <a:off x="2555875" y="1498600"/>
              <a:ext cx="305468" cy="1886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̅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acc>
                  </m:oMath>
                </m:oMathPara>
              </a14:m>
              <a:endParaRPr lang="pt-PT" sz="1100"/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2555875" y="1498600"/>
              <a:ext cx="305468" cy="1886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=(𝑡^2 ) ̅</a:t>
              </a:r>
              <a:endParaRPr lang="pt-PT" sz="1100"/>
            </a:p>
          </xdr:txBody>
        </xdr:sp>
      </mc:Fallback>
    </mc:AlternateContent>
    <xdr:clientData/>
  </xdr:oneCellAnchor>
  <xdr:twoCellAnchor editAs="oneCell">
    <xdr:from>
      <xdr:col>1</xdr:col>
      <xdr:colOff>50801</xdr:colOff>
      <xdr:row>10</xdr:row>
      <xdr:rowOff>171450</xdr:rowOff>
    </xdr:from>
    <xdr:to>
      <xdr:col>9</xdr:col>
      <xdr:colOff>23430</xdr:colOff>
      <xdr:row>12</xdr:row>
      <xdr:rowOff>177150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401" y="1854200"/>
          <a:ext cx="4849429" cy="374000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13</xdr:row>
      <xdr:rowOff>158750</xdr:rowOff>
    </xdr:from>
    <xdr:to>
      <xdr:col>8</xdr:col>
      <xdr:colOff>76550</xdr:colOff>
      <xdr:row>15</xdr:row>
      <xdr:rowOff>173879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350" y="2393950"/>
          <a:ext cx="4312000" cy="383429"/>
        </a:xfrm>
        <a:prstGeom prst="rect">
          <a:avLst/>
        </a:prstGeom>
      </xdr:spPr>
    </xdr:pic>
    <xdr:clientData/>
  </xdr:twoCellAnchor>
  <xdr:twoCellAnchor>
    <xdr:from>
      <xdr:col>0</xdr:col>
      <xdr:colOff>565150</xdr:colOff>
      <xdr:row>6</xdr:row>
      <xdr:rowOff>171450</xdr:rowOff>
    </xdr:from>
    <xdr:to>
      <xdr:col>5</xdr:col>
      <xdr:colOff>50800</xdr:colOff>
      <xdr:row>10</xdr:row>
      <xdr:rowOff>25400</xdr:rowOff>
    </xdr:to>
    <xdr:sp macro="" textlink="">
      <xdr:nvSpPr>
        <xdr:cNvPr id="8" name="Rounded Rectangle 7"/>
        <xdr:cNvSpPr/>
      </xdr:nvSpPr>
      <xdr:spPr>
        <a:xfrm>
          <a:off x="565150" y="1276350"/>
          <a:ext cx="2533650" cy="615950"/>
        </a:xfrm>
        <a:prstGeom prst="roundRect">
          <a:avLst/>
        </a:prstGeom>
        <a:noFill/>
        <a:ln w="28575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5</xdr:col>
      <xdr:colOff>209550</xdr:colOff>
      <xdr:row>8</xdr:row>
      <xdr:rowOff>95250</xdr:rowOff>
    </xdr:from>
    <xdr:to>
      <xdr:col>6</xdr:col>
      <xdr:colOff>19050</xdr:colOff>
      <xdr:row>8</xdr:row>
      <xdr:rowOff>101600</xdr:rowOff>
    </xdr:to>
    <xdr:cxnSp macro="">
      <xdr:nvCxnSpPr>
        <xdr:cNvPr id="10" name="Straight Arrow Connector 9"/>
        <xdr:cNvCxnSpPr/>
      </xdr:nvCxnSpPr>
      <xdr:spPr>
        <a:xfrm flipV="1">
          <a:off x="3257550" y="1568450"/>
          <a:ext cx="419100" cy="6350"/>
        </a:xfrm>
        <a:prstGeom prst="straightConnector1">
          <a:avLst/>
        </a:prstGeom>
        <a:ln w="28575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25400</xdr:colOff>
      <xdr:row>23</xdr:row>
      <xdr:rowOff>38100</xdr:rowOff>
    </xdr:from>
    <xdr:ext cx="2696764" cy="436786"/>
    <xdr:sp macro="" textlink="">
      <xdr:nvSpPr>
        <xdr:cNvPr id="11" name="TextBox 10"/>
        <xdr:cNvSpPr txBox="1"/>
      </xdr:nvSpPr>
      <xdr:spPr>
        <a:xfrm>
          <a:off x="3683000" y="4349750"/>
          <a:ext cx="2696764" cy="43678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PT" sz="1100">
              <a:solidFill>
                <a:schemeClr val="accent2"/>
              </a:solidFill>
            </a:rPr>
            <a:t>Dado</a:t>
          </a:r>
          <a:r>
            <a:rPr lang="pt-PT" sz="1100" baseline="0">
              <a:solidFill>
                <a:schemeClr val="accent2"/>
              </a:solidFill>
            </a:rPr>
            <a:t>s fornecidos recalculados</a:t>
          </a:r>
        </a:p>
        <a:p>
          <a:r>
            <a:rPr lang="pt-PT" sz="1100" baseline="0">
              <a:solidFill>
                <a:schemeClr val="accent2"/>
              </a:solidFill>
            </a:rPr>
            <a:t>sem recurso às funções estatísticas do Excel</a:t>
          </a:r>
          <a:endParaRPr lang="pt-PT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4</xdr:col>
      <xdr:colOff>92075</xdr:colOff>
      <xdr:row>23</xdr:row>
      <xdr:rowOff>0</xdr:rowOff>
    </xdr:from>
    <xdr:ext cx="23557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/>
            <xdr:cNvSpPr txBox="1"/>
          </xdr:nvSpPr>
          <xdr:spPr>
            <a:xfrm>
              <a:off x="2530475" y="4311650"/>
              <a:ext cx="2355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̅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acc>
                  </m:oMath>
                </m:oMathPara>
              </a14:m>
              <a:endParaRPr lang="pt-PT" sz="1100"/>
            </a:p>
          </xdr:txBody>
        </xdr:sp>
      </mc:Choice>
      <mc:Fallback xmlns="">
        <xdr:sp macro="" textlink="">
          <xdr:nvSpPr>
            <xdr:cNvPr id="12" name="TextBox 11"/>
            <xdr:cNvSpPr txBox="1"/>
          </xdr:nvSpPr>
          <xdr:spPr>
            <a:xfrm>
              <a:off x="2530475" y="4311650"/>
              <a:ext cx="2355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=𝑡 ̅</a:t>
              </a:r>
              <a:endParaRPr lang="pt-PT" sz="1100"/>
            </a:p>
          </xdr:txBody>
        </xdr:sp>
      </mc:Fallback>
    </mc:AlternateContent>
    <xdr:clientData/>
  </xdr:oneCellAnchor>
  <xdr:twoCellAnchor>
    <xdr:from>
      <xdr:col>0</xdr:col>
      <xdr:colOff>558800</xdr:colOff>
      <xdr:row>22</xdr:row>
      <xdr:rowOff>152400</xdr:rowOff>
    </xdr:from>
    <xdr:to>
      <xdr:col>5</xdr:col>
      <xdr:colOff>44450</xdr:colOff>
      <xdr:row>26</xdr:row>
      <xdr:rowOff>6350</xdr:rowOff>
    </xdr:to>
    <xdr:sp macro="" textlink="">
      <xdr:nvSpPr>
        <xdr:cNvPr id="13" name="Rounded Rectangle 12"/>
        <xdr:cNvSpPr/>
      </xdr:nvSpPr>
      <xdr:spPr>
        <a:xfrm>
          <a:off x="558800" y="4279900"/>
          <a:ext cx="2533650" cy="615950"/>
        </a:xfrm>
        <a:prstGeom prst="roundRect">
          <a:avLst/>
        </a:prstGeom>
        <a:noFill/>
        <a:ln w="28575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5</xdr:col>
      <xdr:colOff>203200</xdr:colOff>
      <xdr:row>24</xdr:row>
      <xdr:rowOff>76200</xdr:rowOff>
    </xdr:from>
    <xdr:to>
      <xdr:col>6</xdr:col>
      <xdr:colOff>12700</xdr:colOff>
      <xdr:row>24</xdr:row>
      <xdr:rowOff>82550</xdr:rowOff>
    </xdr:to>
    <xdr:cxnSp macro="">
      <xdr:nvCxnSpPr>
        <xdr:cNvPr id="14" name="Straight Arrow Connector 13"/>
        <xdr:cNvCxnSpPr/>
      </xdr:nvCxnSpPr>
      <xdr:spPr>
        <a:xfrm flipV="1">
          <a:off x="3251200" y="4572000"/>
          <a:ext cx="419100" cy="6350"/>
        </a:xfrm>
        <a:prstGeom prst="straightConnector1">
          <a:avLst/>
        </a:prstGeom>
        <a:ln w="28575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104775</xdr:colOff>
      <xdr:row>25</xdr:row>
      <xdr:rowOff>0</xdr:rowOff>
    </xdr:from>
    <xdr:ext cx="305468" cy="1886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/>
            <xdr:cNvSpPr txBox="1"/>
          </xdr:nvSpPr>
          <xdr:spPr>
            <a:xfrm>
              <a:off x="2543175" y="4679950"/>
              <a:ext cx="305468" cy="1886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̅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acc>
                  </m:oMath>
                </m:oMathPara>
              </a14:m>
              <a:endParaRPr lang="pt-PT" sz="1100"/>
            </a:p>
          </xdr:txBody>
        </xdr:sp>
      </mc:Choice>
      <mc:Fallback xmlns="">
        <xdr:sp macro="" textlink="">
          <xdr:nvSpPr>
            <xdr:cNvPr id="15" name="TextBox 14"/>
            <xdr:cNvSpPr txBox="1"/>
          </xdr:nvSpPr>
          <xdr:spPr>
            <a:xfrm>
              <a:off x="2543175" y="4679950"/>
              <a:ext cx="305468" cy="1886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=(𝑡^2 ) ̅</a:t>
              </a:r>
              <a:endParaRPr lang="pt-PT" sz="1100"/>
            </a:p>
          </xdr:txBody>
        </xdr:sp>
      </mc:Fallback>
    </mc:AlternateContent>
    <xdr:clientData/>
  </xdr:oneCellAnchor>
  <xdr:oneCellAnchor>
    <xdr:from>
      <xdr:col>6</xdr:col>
      <xdr:colOff>69850</xdr:colOff>
      <xdr:row>7</xdr:row>
      <xdr:rowOff>146050</xdr:rowOff>
    </xdr:from>
    <xdr:ext cx="1929374" cy="264560"/>
    <xdr:sp macro="" textlink="">
      <xdr:nvSpPr>
        <xdr:cNvPr id="16" name="TextBox 15"/>
        <xdr:cNvSpPr txBox="1"/>
      </xdr:nvSpPr>
      <xdr:spPr>
        <a:xfrm>
          <a:off x="3727450" y="1435100"/>
          <a:ext cx="1929374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PT" sz="1100">
              <a:solidFill>
                <a:schemeClr val="accent2"/>
              </a:solidFill>
            </a:rPr>
            <a:t>Dado</a:t>
          </a:r>
          <a:r>
            <a:rPr lang="pt-PT" sz="1100" baseline="0">
              <a:solidFill>
                <a:schemeClr val="accent2"/>
              </a:solidFill>
            </a:rPr>
            <a:t>s fornecidos recalculados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</xdr:row>
      <xdr:rowOff>6350</xdr:rowOff>
    </xdr:from>
    <xdr:ext cx="5757024" cy="18574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/>
            <xdr:cNvSpPr txBox="1"/>
          </xdr:nvSpPr>
          <xdr:spPr>
            <a:xfrm>
              <a:off x="676275" y="190500"/>
              <a:ext cx="5757024" cy="1857432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𝜂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𝜋𝜌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𝑔</m:t>
                        </m:r>
                        <m:sSup>
                          <m:sSupPr>
                            <m:ctrlP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𝑟</m:t>
                            </m:r>
                          </m:e>
                          <m:sup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4</m:t>
                            </m:r>
                          </m:sup>
                        </m:sSup>
                      </m:num>
                      <m:den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8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𝐿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f>
                          <m:fPr>
                            <m:ctrlP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𝑄</m:t>
                            </m:r>
                          </m:num>
                          <m:den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h</m:t>
                            </m:r>
                          </m:den>
                        </m:f>
                      </m:den>
                    </m:f>
                  </m:oMath>
                </m:oMathPara>
              </a14:m>
              <a:endParaRPr lang="en-US" sz="18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groupChr>
                      <m:groupChrPr>
                        <m:chr m:val="⇒"/>
                        <m:vertJc m:val="bot"/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groupChrPr>
                      <m:e>
                        <m:r>
                          <m:rPr>
                            <m:brk m:alnAt="2"/>
                          </m:r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</m:e>
                    </m:groupChr>
                    <m:f>
                      <m:fPr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𝜂</m:t>
                            </m:r>
                          </m:sub>
                        </m:sSub>
                      </m:num>
                      <m:den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𝜂</m:t>
                        </m:r>
                      </m:den>
                    </m:f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8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𝑢</m:t>
                                        </m:r>
                                      </m:e>
                                      <m:sub>
                                        <m: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𝜌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n-US" sz="18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𝜌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8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𝑢</m:t>
                                        </m:r>
                                      </m:e>
                                      <m:sub>
                                        <m: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𝑔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n-US" sz="18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𝑔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4</m:t>
                            </m:r>
                          </m:e>
                          <m:sup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p>
                          <m:sSupPr>
                            <m:ctrlP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8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𝑢</m:t>
                                        </m:r>
                                      </m:e>
                                      <m:sub>
                                        <m: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𝑟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n-US" sz="18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𝑟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8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𝑢</m:t>
                                        </m:r>
                                      </m:e>
                                      <m:sub>
                                        <m: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𝐿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n-US" sz="18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𝐿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8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𝑢</m:t>
                                        </m:r>
                                      </m:e>
                                      <m:sub>
                                        <m:f>
                                          <m:fPr>
                                            <m:ctrlPr>
                                              <a:rPr lang="en-US" sz="18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</m:ctrlPr>
                                          </m:fPr>
                                          <m:num>
                                            <m:r>
                                              <a:rPr lang="en-US" sz="18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  <m:t>𝑄</m:t>
                                            </m:r>
                                          </m:num>
                                          <m:den>
                                            <m:r>
                                              <a:rPr lang="en-US" sz="18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  <m:t>h</m:t>
                                            </m:r>
                                          </m:den>
                                        </m:f>
                                      </m:sub>
                                    </m:sSub>
                                  </m:num>
                                  <m:den>
                                    <m:f>
                                      <m:fPr>
                                        <m:ctrlP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𝑄</m:t>
                                        </m:r>
                                      </m:num>
                                      <m:den>
                                        <m: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h</m:t>
                                        </m:r>
                                      </m:den>
                                    </m:f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n-US" sz="18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676275" y="190500"/>
              <a:ext cx="5757024" cy="1857432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𝜂</a:t>
              </a:r>
              <a:r>
                <a:rPr lang="en-US" sz="1800" b="0" i="0">
                  <a:latin typeface="Cambria Math" panose="02040503050406030204" pitchFamily="18" charset="0"/>
                </a:rPr>
                <a:t>=(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𝜋𝜌𝑔𝑟^4)/(8𝐿∙𝑄/ℎ)</a:t>
              </a:r>
              <a:endParaRPr lang="en-US" sz="18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/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⇒┴   𝑢_𝜂/𝜂=√((𝑢_𝜌/𝜌)^2+(𝑢_𝑔/𝑔)^2+4^2∙(𝑢_𝑟/𝑟)^2+(𝑢_𝐿/𝐿)^2+(𝑢_(𝑄/ℎ)/(𝑄/ℎ))^2 )</a:t>
              </a:r>
              <a:endParaRPr lang="en-US" sz="18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539750</xdr:colOff>
      <xdr:row>12</xdr:row>
      <xdr:rowOff>0</xdr:rowOff>
    </xdr:from>
    <xdr:to>
      <xdr:col>3</xdr:col>
      <xdr:colOff>508000</xdr:colOff>
      <xdr:row>13</xdr:row>
      <xdr:rowOff>38100</xdr:rowOff>
    </xdr:to>
    <xdr:sp macro="" textlink="">
      <xdr:nvSpPr>
        <xdr:cNvPr id="13" name="Rounded Rectangle 12"/>
        <xdr:cNvSpPr/>
      </xdr:nvSpPr>
      <xdr:spPr>
        <a:xfrm>
          <a:off x="1758950" y="2762250"/>
          <a:ext cx="577850" cy="22225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2</xdr:col>
      <xdr:colOff>228600</xdr:colOff>
      <xdr:row>4</xdr:row>
      <xdr:rowOff>171450</xdr:rowOff>
    </xdr:from>
    <xdr:to>
      <xdr:col>12</xdr:col>
      <xdr:colOff>25400</xdr:colOff>
      <xdr:row>6</xdr:row>
      <xdr:rowOff>25400</xdr:rowOff>
    </xdr:to>
    <xdr:grpSp>
      <xdr:nvGrpSpPr>
        <xdr:cNvPr id="25" name="Group 24"/>
        <xdr:cNvGrpSpPr/>
      </xdr:nvGrpSpPr>
      <xdr:grpSpPr>
        <a:xfrm>
          <a:off x="1447800" y="908050"/>
          <a:ext cx="5892800" cy="222250"/>
          <a:chOff x="1289050" y="1270000"/>
          <a:chExt cx="5892800" cy="222250"/>
        </a:xfrm>
      </xdr:grpSpPr>
      <xdr:grpSp>
        <xdr:nvGrpSpPr>
          <xdr:cNvPr id="18" name="Group 17"/>
          <xdr:cNvGrpSpPr/>
        </xdr:nvGrpSpPr>
        <xdr:grpSpPr>
          <a:xfrm>
            <a:off x="1289050" y="1270000"/>
            <a:ext cx="2940050" cy="222250"/>
            <a:chOff x="1270000" y="895350"/>
            <a:chExt cx="2940050" cy="222250"/>
          </a:xfrm>
        </xdr:grpSpPr>
        <xdr:sp macro="" textlink="">
          <xdr:nvSpPr>
            <xdr:cNvPr id="2" name="Rounded Rectangle 1"/>
            <xdr:cNvSpPr/>
          </xdr:nvSpPr>
          <xdr:spPr>
            <a:xfrm>
              <a:off x="1270000" y="895350"/>
              <a:ext cx="577850" cy="222250"/>
            </a:xfrm>
            <a:prstGeom prst="round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PT" sz="1100"/>
            </a:p>
          </xdr:txBody>
        </xdr:sp>
        <xdr:sp macro="" textlink="">
          <xdr:nvSpPr>
            <xdr:cNvPr id="14" name="Rounded Rectangle 13"/>
            <xdr:cNvSpPr/>
          </xdr:nvSpPr>
          <xdr:spPr>
            <a:xfrm>
              <a:off x="1860550" y="895350"/>
              <a:ext cx="577850" cy="222250"/>
            </a:xfrm>
            <a:prstGeom prst="round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PT" sz="1100"/>
            </a:p>
          </xdr:txBody>
        </xdr:sp>
        <xdr:sp macro="" textlink="">
          <xdr:nvSpPr>
            <xdr:cNvPr id="15" name="Rounded Rectangle 14"/>
            <xdr:cNvSpPr/>
          </xdr:nvSpPr>
          <xdr:spPr>
            <a:xfrm>
              <a:off x="2451100" y="895350"/>
              <a:ext cx="577850" cy="222250"/>
            </a:xfrm>
            <a:prstGeom prst="round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PT" sz="1100"/>
            </a:p>
          </xdr:txBody>
        </xdr:sp>
        <xdr:sp macro="" textlink="">
          <xdr:nvSpPr>
            <xdr:cNvPr id="16" name="Rounded Rectangle 15"/>
            <xdr:cNvSpPr/>
          </xdr:nvSpPr>
          <xdr:spPr>
            <a:xfrm>
              <a:off x="3041650" y="895350"/>
              <a:ext cx="577850" cy="222250"/>
            </a:xfrm>
            <a:prstGeom prst="round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PT" sz="1100"/>
            </a:p>
          </xdr:txBody>
        </xdr:sp>
        <xdr:sp macro="" textlink="">
          <xdr:nvSpPr>
            <xdr:cNvPr id="17" name="Rounded Rectangle 16"/>
            <xdr:cNvSpPr/>
          </xdr:nvSpPr>
          <xdr:spPr>
            <a:xfrm>
              <a:off x="3632200" y="895350"/>
              <a:ext cx="577850" cy="222250"/>
            </a:xfrm>
            <a:prstGeom prst="round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PT" sz="1100"/>
            </a:p>
          </xdr:txBody>
        </xdr:sp>
      </xdr:grpSp>
      <xdr:grpSp>
        <xdr:nvGrpSpPr>
          <xdr:cNvPr id="19" name="Group 18"/>
          <xdr:cNvGrpSpPr/>
        </xdr:nvGrpSpPr>
        <xdr:grpSpPr>
          <a:xfrm>
            <a:off x="4241800" y="1270000"/>
            <a:ext cx="2940050" cy="222250"/>
            <a:chOff x="1270000" y="895350"/>
            <a:chExt cx="2940050" cy="222250"/>
          </a:xfrm>
        </xdr:grpSpPr>
        <xdr:sp macro="" textlink="">
          <xdr:nvSpPr>
            <xdr:cNvPr id="20" name="Rounded Rectangle 19"/>
            <xdr:cNvSpPr/>
          </xdr:nvSpPr>
          <xdr:spPr>
            <a:xfrm>
              <a:off x="1270000" y="895350"/>
              <a:ext cx="577850" cy="222250"/>
            </a:xfrm>
            <a:prstGeom prst="round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PT" sz="1100"/>
            </a:p>
          </xdr:txBody>
        </xdr:sp>
        <xdr:sp macro="" textlink="">
          <xdr:nvSpPr>
            <xdr:cNvPr id="21" name="Rounded Rectangle 20"/>
            <xdr:cNvSpPr/>
          </xdr:nvSpPr>
          <xdr:spPr>
            <a:xfrm>
              <a:off x="1860550" y="895350"/>
              <a:ext cx="577850" cy="222250"/>
            </a:xfrm>
            <a:prstGeom prst="round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PT" sz="1100"/>
            </a:p>
          </xdr:txBody>
        </xdr:sp>
        <xdr:sp macro="" textlink="">
          <xdr:nvSpPr>
            <xdr:cNvPr id="22" name="Rounded Rectangle 21"/>
            <xdr:cNvSpPr/>
          </xdr:nvSpPr>
          <xdr:spPr>
            <a:xfrm>
              <a:off x="2451100" y="895350"/>
              <a:ext cx="577850" cy="222250"/>
            </a:xfrm>
            <a:prstGeom prst="round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PT" sz="1100"/>
            </a:p>
          </xdr:txBody>
        </xdr:sp>
        <xdr:sp macro="" textlink="">
          <xdr:nvSpPr>
            <xdr:cNvPr id="23" name="Rounded Rectangle 22"/>
            <xdr:cNvSpPr/>
          </xdr:nvSpPr>
          <xdr:spPr>
            <a:xfrm>
              <a:off x="3041650" y="895350"/>
              <a:ext cx="577850" cy="222250"/>
            </a:xfrm>
            <a:prstGeom prst="round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PT" sz="1100"/>
            </a:p>
          </xdr:txBody>
        </xdr:sp>
        <xdr:sp macro="" textlink="">
          <xdr:nvSpPr>
            <xdr:cNvPr id="24" name="Rounded Rectangle 23"/>
            <xdr:cNvSpPr/>
          </xdr:nvSpPr>
          <xdr:spPr>
            <a:xfrm>
              <a:off x="3632200" y="895350"/>
              <a:ext cx="577850" cy="222250"/>
            </a:xfrm>
            <a:prstGeom prst="round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PT" sz="1100"/>
            </a:p>
          </xdr:txBody>
        </xdr:sp>
      </xdr:grpSp>
    </xdr:grpSp>
    <xdr:clientData/>
  </xdr:twoCellAnchor>
  <xdr:oneCellAnchor>
    <xdr:from>
      <xdr:col>2</xdr:col>
      <xdr:colOff>149225</xdr:colOff>
      <xdr:row>6</xdr:row>
      <xdr:rowOff>152400</xdr:rowOff>
    </xdr:from>
    <xdr:ext cx="1554143" cy="74629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6" name="TextBox 25"/>
            <xdr:cNvSpPr txBox="1"/>
          </xdr:nvSpPr>
          <xdr:spPr>
            <a:xfrm>
              <a:off x="1368425" y="1993900"/>
              <a:ext cx="1554143" cy="746295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𝑌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10</m:t>
                            </m:r>
                          </m:sub>
                        </m:sSub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10</m:t>
                        </m:r>
                      </m:den>
                    </m:f>
                    <m:r>
                      <a:rPr lang="en-US" sz="1400" b="0" i="1">
                        <a:latin typeface="Cambria Math" panose="02040503050406030204" pitchFamily="18" charset="0"/>
                      </a:rPr>
                      <m:t>;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𝑢</m:t>
                        </m:r>
                      </m:e>
                      <m:sub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10</m:t>
                            </m:r>
                          </m:sub>
                        </m:sSub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𝑢</m:t>
                        </m:r>
                      </m:e>
                      <m:sub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400" b="0" i="1">
                <a:latin typeface="Cambria Math" panose="02040503050406030204" pitchFamily="18" charset="0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𝑢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𝑌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sSub>
                              <m:sSub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10</m:t>
                                </m:r>
                              </m:sub>
                            </m:sSub>
                          </m:sub>
                        </m:sSub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10</m:t>
                        </m:r>
                      </m:den>
                    </m:f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sSub>
                              <m:sSub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</m:sub>
                        </m:sSub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10</m:t>
                        </m:r>
                      </m:den>
                    </m:f>
                  </m:oMath>
                </m:oMathPara>
              </a14:m>
              <a:endParaRPr lang="pt-PT" sz="1400"/>
            </a:p>
          </xdr:txBody>
        </xdr:sp>
      </mc:Choice>
      <mc:Fallback>
        <xdr:sp macro="" textlink="">
          <xdr:nvSpPr>
            <xdr:cNvPr id="26" name="TextBox 25"/>
            <xdr:cNvSpPr txBox="1"/>
          </xdr:nvSpPr>
          <xdr:spPr>
            <a:xfrm>
              <a:off x="1368425" y="1993900"/>
              <a:ext cx="1554143" cy="746295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𝑌=𝑦_10/10;𝑢_(𝑦_10 )=𝑢_(𝑦_1 )</a:t>
              </a:r>
              <a:endParaRPr lang="en-US" sz="1400" b="0" i="1">
                <a:latin typeface="Cambria Math" panose="02040503050406030204" pitchFamily="18" charset="0"/>
              </a:endParaRPr>
            </a:p>
            <a:p>
              <a:r>
                <a:rPr lang="en-US" sz="1400" b="0" i="0">
                  <a:latin typeface="Cambria Math" panose="02040503050406030204" pitchFamily="18" charset="0"/>
                </a:rPr>
                <a:t>𝑢_𝑌=𝑢_(𝑦_10 )/10=𝑢_(𝑦_1 )/10</a:t>
              </a:r>
              <a:endParaRPr lang="pt-PT" sz="1400"/>
            </a:p>
          </xdr:txBody>
        </xdr:sp>
      </mc:Fallback>
    </mc:AlternateContent>
    <xdr:clientData/>
  </xdr:oneCellAnchor>
  <xdr:oneCellAnchor>
    <xdr:from>
      <xdr:col>2</xdr:col>
      <xdr:colOff>558800</xdr:colOff>
      <xdr:row>14</xdr:row>
      <xdr:rowOff>0</xdr:rowOff>
    </xdr:from>
    <xdr:ext cx="786369" cy="6270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8" name="TextBox 27"/>
            <xdr:cNvSpPr txBox="1"/>
          </xdr:nvSpPr>
          <xdr:spPr>
            <a:xfrm>
              <a:off x="1778000" y="3314700"/>
              <a:ext cx="786369" cy="627031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𝑌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400" b="0" i="1">
                <a:latin typeface="Cambria Math" panose="02040503050406030204" pitchFamily="18" charset="0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𝑢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𝑌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sSub>
                              <m:sSub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10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pt-PT" sz="1400"/>
            </a:p>
          </xdr:txBody>
        </xdr:sp>
      </mc:Choice>
      <mc:Fallback>
        <xdr:sp macro="" textlink="">
          <xdr:nvSpPr>
            <xdr:cNvPr id="28" name="TextBox 27"/>
            <xdr:cNvSpPr txBox="1"/>
          </xdr:nvSpPr>
          <xdr:spPr>
            <a:xfrm>
              <a:off x="1778000" y="3314700"/>
              <a:ext cx="786369" cy="627031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𝑌=𝑦 ̅</a:t>
              </a:r>
              <a:endParaRPr lang="en-US" sz="1400" b="0" i="1">
                <a:latin typeface="Cambria Math" panose="02040503050406030204" pitchFamily="18" charset="0"/>
              </a:endParaRPr>
            </a:p>
            <a:p>
              <a:r>
                <a:rPr lang="en-US" sz="1400" b="0" i="0">
                  <a:latin typeface="Cambria Math" panose="02040503050406030204" pitchFamily="18" charset="0"/>
                </a:rPr>
                <a:t>𝑢_𝑌=𝑢_(𝑦_1 )/√10</a:t>
              </a:r>
              <a:endParaRPr lang="pt-PT" sz="1400"/>
            </a:p>
          </xdr:txBody>
        </xdr:sp>
      </mc:Fallback>
    </mc:AlternateContent>
    <xdr:clientData/>
  </xdr:oneCellAnchor>
  <xdr:twoCellAnchor>
    <xdr:from>
      <xdr:col>2</xdr:col>
      <xdr:colOff>539750</xdr:colOff>
      <xdr:row>30</xdr:row>
      <xdr:rowOff>0</xdr:rowOff>
    </xdr:from>
    <xdr:to>
      <xdr:col>3</xdr:col>
      <xdr:colOff>508000</xdr:colOff>
      <xdr:row>31</xdr:row>
      <xdr:rowOff>38100</xdr:rowOff>
    </xdr:to>
    <xdr:sp macro="" textlink="">
      <xdr:nvSpPr>
        <xdr:cNvPr id="45" name="Rounded Rectangle 44"/>
        <xdr:cNvSpPr/>
      </xdr:nvSpPr>
      <xdr:spPr>
        <a:xfrm>
          <a:off x="1758950" y="2578100"/>
          <a:ext cx="577850" cy="22225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2</xdr:col>
      <xdr:colOff>228600</xdr:colOff>
      <xdr:row>22</xdr:row>
      <xdr:rowOff>171450</xdr:rowOff>
    </xdr:from>
    <xdr:to>
      <xdr:col>12</xdr:col>
      <xdr:colOff>25400</xdr:colOff>
      <xdr:row>24</xdr:row>
      <xdr:rowOff>25400</xdr:rowOff>
    </xdr:to>
    <xdr:grpSp>
      <xdr:nvGrpSpPr>
        <xdr:cNvPr id="46" name="Group 45"/>
        <xdr:cNvGrpSpPr/>
      </xdr:nvGrpSpPr>
      <xdr:grpSpPr>
        <a:xfrm>
          <a:off x="1447800" y="4222750"/>
          <a:ext cx="5892800" cy="222250"/>
          <a:chOff x="1289050" y="1270000"/>
          <a:chExt cx="5892800" cy="222250"/>
        </a:xfrm>
      </xdr:grpSpPr>
      <xdr:grpSp>
        <xdr:nvGrpSpPr>
          <xdr:cNvPr id="47" name="Group 46"/>
          <xdr:cNvGrpSpPr/>
        </xdr:nvGrpSpPr>
        <xdr:grpSpPr>
          <a:xfrm>
            <a:off x="1289050" y="1270000"/>
            <a:ext cx="2940050" cy="222250"/>
            <a:chOff x="1270000" y="895350"/>
            <a:chExt cx="2940050" cy="222250"/>
          </a:xfrm>
        </xdr:grpSpPr>
        <xdr:sp macro="" textlink="">
          <xdr:nvSpPr>
            <xdr:cNvPr id="54" name="Rounded Rectangle 53"/>
            <xdr:cNvSpPr/>
          </xdr:nvSpPr>
          <xdr:spPr>
            <a:xfrm>
              <a:off x="1270000" y="895350"/>
              <a:ext cx="577850" cy="222250"/>
            </a:xfrm>
            <a:prstGeom prst="round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PT" sz="1100"/>
            </a:p>
          </xdr:txBody>
        </xdr:sp>
        <xdr:sp macro="" textlink="">
          <xdr:nvSpPr>
            <xdr:cNvPr id="55" name="Rounded Rectangle 54"/>
            <xdr:cNvSpPr/>
          </xdr:nvSpPr>
          <xdr:spPr>
            <a:xfrm>
              <a:off x="1860550" y="895350"/>
              <a:ext cx="577850" cy="222250"/>
            </a:xfrm>
            <a:prstGeom prst="round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PT" sz="1100"/>
            </a:p>
          </xdr:txBody>
        </xdr:sp>
        <xdr:sp macro="" textlink="">
          <xdr:nvSpPr>
            <xdr:cNvPr id="56" name="Rounded Rectangle 55"/>
            <xdr:cNvSpPr/>
          </xdr:nvSpPr>
          <xdr:spPr>
            <a:xfrm>
              <a:off x="2451100" y="895350"/>
              <a:ext cx="577850" cy="222250"/>
            </a:xfrm>
            <a:prstGeom prst="round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PT" sz="1100"/>
            </a:p>
          </xdr:txBody>
        </xdr:sp>
        <xdr:sp macro="" textlink="">
          <xdr:nvSpPr>
            <xdr:cNvPr id="57" name="Rounded Rectangle 56"/>
            <xdr:cNvSpPr/>
          </xdr:nvSpPr>
          <xdr:spPr>
            <a:xfrm>
              <a:off x="3041650" y="895350"/>
              <a:ext cx="577850" cy="222250"/>
            </a:xfrm>
            <a:prstGeom prst="round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PT" sz="1100"/>
            </a:p>
          </xdr:txBody>
        </xdr:sp>
        <xdr:sp macro="" textlink="">
          <xdr:nvSpPr>
            <xdr:cNvPr id="58" name="Rounded Rectangle 57"/>
            <xdr:cNvSpPr/>
          </xdr:nvSpPr>
          <xdr:spPr>
            <a:xfrm>
              <a:off x="3632200" y="895350"/>
              <a:ext cx="577850" cy="222250"/>
            </a:xfrm>
            <a:prstGeom prst="round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PT" sz="1100"/>
            </a:p>
          </xdr:txBody>
        </xdr:sp>
      </xdr:grpSp>
      <xdr:grpSp>
        <xdr:nvGrpSpPr>
          <xdr:cNvPr id="48" name="Group 47"/>
          <xdr:cNvGrpSpPr/>
        </xdr:nvGrpSpPr>
        <xdr:grpSpPr>
          <a:xfrm>
            <a:off x="4241800" y="1270000"/>
            <a:ext cx="2940050" cy="222250"/>
            <a:chOff x="1270000" y="895350"/>
            <a:chExt cx="2940050" cy="222250"/>
          </a:xfrm>
        </xdr:grpSpPr>
        <xdr:sp macro="" textlink="">
          <xdr:nvSpPr>
            <xdr:cNvPr id="49" name="Rounded Rectangle 48"/>
            <xdr:cNvSpPr/>
          </xdr:nvSpPr>
          <xdr:spPr>
            <a:xfrm>
              <a:off x="1270000" y="895350"/>
              <a:ext cx="577850" cy="222250"/>
            </a:xfrm>
            <a:prstGeom prst="round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PT" sz="1100"/>
            </a:p>
          </xdr:txBody>
        </xdr:sp>
        <xdr:sp macro="" textlink="">
          <xdr:nvSpPr>
            <xdr:cNvPr id="50" name="Rounded Rectangle 49"/>
            <xdr:cNvSpPr/>
          </xdr:nvSpPr>
          <xdr:spPr>
            <a:xfrm>
              <a:off x="1860550" y="895350"/>
              <a:ext cx="577850" cy="222250"/>
            </a:xfrm>
            <a:prstGeom prst="round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PT" sz="1100"/>
            </a:p>
          </xdr:txBody>
        </xdr:sp>
        <xdr:sp macro="" textlink="">
          <xdr:nvSpPr>
            <xdr:cNvPr id="51" name="Rounded Rectangle 50"/>
            <xdr:cNvSpPr/>
          </xdr:nvSpPr>
          <xdr:spPr>
            <a:xfrm>
              <a:off x="2451100" y="895350"/>
              <a:ext cx="577850" cy="222250"/>
            </a:xfrm>
            <a:prstGeom prst="round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PT" sz="1100"/>
            </a:p>
          </xdr:txBody>
        </xdr:sp>
        <xdr:sp macro="" textlink="">
          <xdr:nvSpPr>
            <xdr:cNvPr id="52" name="Rounded Rectangle 51"/>
            <xdr:cNvSpPr/>
          </xdr:nvSpPr>
          <xdr:spPr>
            <a:xfrm>
              <a:off x="3041650" y="895350"/>
              <a:ext cx="577850" cy="222250"/>
            </a:xfrm>
            <a:prstGeom prst="round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PT" sz="1100"/>
            </a:p>
          </xdr:txBody>
        </xdr:sp>
        <xdr:sp macro="" textlink="">
          <xdr:nvSpPr>
            <xdr:cNvPr id="53" name="Rounded Rectangle 52"/>
            <xdr:cNvSpPr/>
          </xdr:nvSpPr>
          <xdr:spPr>
            <a:xfrm>
              <a:off x="3632200" y="895350"/>
              <a:ext cx="577850" cy="222250"/>
            </a:xfrm>
            <a:prstGeom prst="round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PT" sz="1100"/>
            </a:p>
          </xdr:txBody>
        </xdr:sp>
      </xdr:grpSp>
    </xdr:grpSp>
    <xdr:clientData/>
  </xdr:twoCellAnchor>
  <xdr:oneCellAnchor>
    <xdr:from>
      <xdr:col>2</xdr:col>
      <xdr:colOff>149225</xdr:colOff>
      <xdr:row>24</xdr:row>
      <xdr:rowOff>152400</xdr:rowOff>
    </xdr:from>
    <xdr:ext cx="1752916" cy="74629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9" name="TextBox 58"/>
            <xdr:cNvSpPr txBox="1"/>
          </xdr:nvSpPr>
          <xdr:spPr>
            <a:xfrm>
              <a:off x="1368425" y="4940300"/>
              <a:ext cx="1752916" cy="746295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𝑌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10</m:t>
                            </m:r>
                          </m:sub>
                        </m:sSub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10</m:t>
                        </m:r>
                      </m:den>
                    </m:f>
                    <m:r>
                      <a:rPr lang="en-US" sz="1400" b="0" i="1">
                        <a:latin typeface="Cambria Math" panose="02040503050406030204" pitchFamily="18" charset="0"/>
                      </a:rPr>
                      <m:t>;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𝑢</m:t>
                        </m:r>
                      </m:e>
                      <m:sub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10</m:t>
                            </m:r>
                          </m:sub>
                        </m:sSub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10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𝑢</m:t>
                        </m:r>
                      </m:e>
                      <m:sub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400" b="0" i="1">
                <a:latin typeface="Cambria Math" panose="02040503050406030204" pitchFamily="18" charset="0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𝑢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𝑌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sSub>
                              <m:sSub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10</m:t>
                                </m:r>
                              </m:sub>
                            </m:sSub>
                          </m:sub>
                        </m:sSub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10</m:t>
                        </m:r>
                      </m:den>
                    </m:f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𝑢</m:t>
                        </m:r>
                      </m:e>
                      <m:sub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pt-PT" sz="1400"/>
            </a:p>
          </xdr:txBody>
        </xdr:sp>
      </mc:Choice>
      <mc:Fallback>
        <xdr:sp macro="" textlink="">
          <xdr:nvSpPr>
            <xdr:cNvPr id="59" name="TextBox 58"/>
            <xdr:cNvSpPr txBox="1"/>
          </xdr:nvSpPr>
          <xdr:spPr>
            <a:xfrm>
              <a:off x="1368425" y="4940300"/>
              <a:ext cx="1752916" cy="746295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𝑌=𝑦_10/10;𝑢_(𝑦_10 )=〖10𝑢〗_(𝑦_1 )</a:t>
              </a:r>
              <a:endParaRPr lang="en-US" sz="1400" b="0" i="1">
                <a:latin typeface="Cambria Math" panose="02040503050406030204" pitchFamily="18" charset="0"/>
              </a:endParaRPr>
            </a:p>
            <a:p>
              <a:r>
                <a:rPr lang="en-US" sz="1400" b="0" i="0">
                  <a:latin typeface="Cambria Math" panose="02040503050406030204" pitchFamily="18" charset="0"/>
                </a:rPr>
                <a:t>𝑢_𝑌=𝑢_(𝑦_10 )/10=𝑢_(𝑦_1 )</a:t>
              </a:r>
              <a:endParaRPr lang="pt-PT" sz="1400"/>
            </a:p>
          </xdr:txBody>
        </xdr:sp>
      </mc:Fallback>
    </mc:AlternateContent>
    <xdr:clientData/>
  </xdr:oneCellAnchor>
  <xdr:oneCellAnchor>
    <xdr:from>
      <xdr:col>2</xdr:col>
      <xdr:colOff>558800</xdr:colOff>
      <xdr:row>32</xdr:row>
      <xdr:rowOff>0</xdr:rowOff>
    </xdr:from>
    <xdr:ext cx="786369" cy="6270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0" name="TextBox 59"/>
            <xdr:cNvSpPr txBox="1"/>
          </xdr:nvSpPr>
          <xdr:spPr>
            <a:xfrm>
              <a:off x="1778000" y="2946400"/>
              <a:ext cx="786369" cy="627031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𝑌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400" b="0" i="1">
                <a:latin typeface="Cambria Math" panose="02040503050406030204" pitchFamily="18" charset="0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𝑢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𝑌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sSub>
                              <m:sSub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10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pt-PT" sz="1400"/>
            </a:p>
          </xdr:txBody>
        </xdr:sp>
      </mc:Choice>
      <mc:Fallback>
        <xdr:sp macro="" textlink="">
          <xdr:nvSpPr>
            <xdr:cNvPr id="60" name="TextBox 59"/>
            <xdr:cNvSpPr txBox="1"/>
          </xdr:nvSpPr>
          <xdr:spPr>
            <a:xfrm>
              <a:off x="1778000" y="2946400"/>
              <a:ext cx="786369" cy="627031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𝑌=𝑦 ̅</a:t>
              </a:r>
              <a:endParaRPr lang="en-US" sz="1400" b="0" i="1">
                <a:latin typeface="Cambria Math" panose="02040503050406030204" pitchFamily="18" charset="0"/>
              </a:endParaRPr>
            </a:p>
            <a:p>
              <a:r>
                <a:rPr lang="en-US" sz="1400" b="0" i="0">
                  <a:latin typeface="Cambria Math" panose="02040503050406030204" pitchFamily="18" charset="0"/>
                </a:rPr>
                <a:t>𝑢_𝑌=𝑢_(𝑦_1 )/√10</a:t>
              </a:r>
              <a:endParaRPr lang="pt-PT" sz="14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3</xdr:row>
      <xdr:rowOff>152400</xdr:rowOff>
    </xdr:from>
    <xdr:ext cx="3015697" cy="63652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/>
            <xdr:cNvSpPr txBox="1"/>
          </xdr:nvSpPr>
          <xdr:spPr>
            <a:xfrm>
              <a:off x="1362075" y="704850"/>
              <a:ext cx="3015697" cy="636521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𝑔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h</m:t>
                        </m:r>
                      </m:num>
                      <m:den>
                        <m:sSup>
                          <m:sSup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US" sz="1400" b="0" i="1">
                        <a:latin typeface="Cambria Math" panose="02040503050406030204" pitchFamily="18" charset="0"/>
                      </a:rPr>
                      <m:t>;    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𝑔</m:t>
                        </m:r>
                      </m:den>
                    </m:f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𝑢</m:t>
                                        </m:r>
                                      </m:e>
                                      <m:sub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h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n-U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h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−2</m:t>
                                </m:r>
                              </m:e>
                            </m:d>
                          </m:e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sSup>
                          <m:sSup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𝑢</m:t>
                                        </m:r>
                                      </m:e>
                                      <m:sub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𝑡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n-U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pt-PT" sz="1400"/>
            </a:p>
          </xdr:txBody>
        </xdr:sp>
      </mc:Choice>
      <mc:Fallback>
        <xdr:sp macro="" textlink="">
          <xdr:nvSpPr>
            <xdr:cNvPr id="2" name="TextBox 1"/>
            <xdr:cNvSpPr txBox="1"/>
          </xdr:nvSpPr>
          <xdr:spPr>
            <a:xfrm>
              <a:off x="1362075" y="704850"/>
              <a:ext cx="3015697" cy="636521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𝑔=2ℎ/𝑡^2 ;     𝑢_𝑔/𝑔=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√((𝑢_ℎ/ℎ)^2+(−2)^2 (𝑢_𝑡/𝑡)^2 )</a:t>
              </a:r>
              <a:endParaRPr lang="pt-PT" sz="1400"/>
            </a:p>
          </xdr:txBody>
        </xdr:sp>
      </mc:Fallback>
    </mc:AlternateContent>
    <xdr:clientData/>
  </xdr:oneCellAnchor>
  <xdr:oneCellAnchor>
    <xdr:from>
      <xdr:col>2</xdr:col>
      <xdr:colOff>142875</xdr:colOff>
      <xdr:row>7</xdr:row>
      <xdr:rowOff>146050</xdr:rowOff>
    </xdr:from>
    <xdr:ext cx="3463128" cy="63652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/>
            <xdr:cNvSpPr txBox="1"/>
          </xdr:nvSpPr>
          <xdr:spPr>
            <a:xfrm>
              <a:off x="1362075" y="1435100"/>
              <a:ext cx="3463128" cy="636521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𝑔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=4</m:t>
                    </m:r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𝜋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𝐿</m:t>
                        </m:r>
                      </m:num>
                      <m:den>
                        <m:sSup>
                          <m:sSup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𝑇</m:t>
                            </m:r>
                          </m:e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;    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𝑔</m:t>
                        </m:r>
                      </m:den>
                    </m:f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𝑢</m:t>
                                        </m:r>
                                      </m:e>
                                      <m:sub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𝐿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n-U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𝐿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−2</m:t>
                                </m:r>
                              </m:e>
                            </m:d>
                          </m:e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sSup>
                          <m:sSup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𝑢</m:t>
                                        </m:r>
                                      </m:e>
                                      <m:sub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𝑇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n-U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𝑇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pt-PT" sz="1400"/>
            </a:p>
          </xdr:txBody>
        </xdr:sp>
      </mc:Choice>
      <mc:Fallback>
        <xdr:sp macro="" textlink="">
          <xdr:nvSpPr>
            <xdr:cNvPr id="3" name="TextBox 2"/>
            <xdr:cNvSpPr txBox="1"/>
          </xdr:nvSpPr>
          <xdr:spPr>
            <a:xfrm>
              <a:off x="1362075" y="1435100"/>
              <a:ext cx="3463128" cy="636521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𝑔=4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𝜋^</a:t>
              </a:r>
              <a:r>
                <a:rPr lang="en-US" sz="1400" b="0" i="0">
                  <a:latin typeface="Cambria Math" panose="02040503050406030204" pitchFamily="18" charset="0"/>
                </a:rPr>
                <a:t>2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∙𝐿/𝑇^2 ;     𝑢_𝑔/𝑔=√((𝑢_𝐿/𝐿)^2+(−2)^2 (𝑢_𝑇/𝑇)^2 )</a:t>
              </a:r>
              <a:endParaRPr lang="pt-PT" sz="1400"/>
            </a:p>
          </xdr:txBody>
        </xdr:sp>
      </mc:Fallback>
    </mc:AlternateContent>
    <xdr:clientData/>
  </xdr:oneCellAnchor>
  <xdr:oneCellAnchor>
    <xdr:from>
      <xdr:col>7</xdr:col>
      <xdr:colOff>38100</xdr:colOff>
      <xdr:row>22</xdr:row>
      <xdr:rowOff>50800</xdr:rowOff>
    </xdr:from>
    <xdr:ext cx="1974067" cy="63652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/>
            <xdr:cNvSpPr txBox="1"/>
          </xdr:nvSpPr>
          <xdr:spPr>
            <a:xfrm>
              <a:off x="4349750" y="4470400"/>
              <a:ext cx="1974067" cy="636521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den>
                    </m:f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ad>
                      <m:radPr>
                        <m:degHide m:val="on"/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𝑢</m:t>
                                        </m:r>
                                      </m:e>
                                      <m:sub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𝑔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n-U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𝑔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p>
                          <m:sSup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𝑢</m:t>
                                        </m:r>
                                      </m:e>
                                      <m:sub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𝐿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n-U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𝐿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pt-PT" sz="1400"/>
            </a:p>
          </xdr:txBody>
        </xdr:sp>
      </mc:Choice>
      <mc:Fallback>
        <xdr:sp macro="" textlink="">
          <xdr:nvSpPr>
            <xdr:cNvPr id="4" name="TextBox 3"/>
            <xdr:cNvSpPr txBox="1"/>
          </xdr:nvSpPr>
          <xdr:spPr>
            <a:xfrm>
              <a:off x="4349750" y="4470400"/>
              <a:ext cx="1974067" cy="636521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𝑢_𝑡/𝑡=1/2∙√((𝑢_𝑔/𝑔)^2−(𝑢_𝐿/𝐿)^2 )</a:t>
              </a:r>
              <a:endParaRPr lang="pt-PT" sz="1400"/>
            </a:p>
          </xdr:txBody>
        </xdr:sp>
      </mc:Fallback>
    </mc:AlternateContent>
    <xdr:clientData/>
  </xdr:oneCellAnchor>
  <xdr:oneCellAnchor>
    <xdr:from>
      <xdr:col>7</xdr:col>
      <xdr:colOff>0</xdr:colOff>
      <xdr:row>24</xdr:row>
      <xdr:rowOff>0</xdr:rowOff>
    </xdr:from>
    <xdr:ext cx="2076658" cy="77873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/>
            <xdr:cNvSpPr txBox="1"/>
          </xdr:nvSpPr>
          <xdr:spPr>
            <a:xfrm>
              <a:off x="4311650" y="5156200"/>
              <a:ext cx="2076658" cy="778739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sSub>
                              <m:sSub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𝑁</m:t>
                                </m:r>
                              </m:sub>
                            </m:sSub>
                          </m:sub>
                        </m:sSub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den>
                    </m:f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rad>
                          <m:radPr>
                            <m:degHide m:val="on"/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𝑁</m:t>
                            </m:r>
                          </m:e>
                        </m:rad>
                      </m:den>
                    </m:f>
                    <m:groupChr>
                      <m:groupChrPr>
                        <m:chr m:val="⇒"/>
                        <m:vertJc m:val="bot"/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groupChrPr>
                      <m:e>
                        <m:r>
                          <m:rPr>
                            <m:brk m:alnAt="2"/>
                          </m:r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</m:e>
                    </m:groupChr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𝑁</m:t>
                    </m:r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𝑢</m:t>
                                        </m:r>
                                      </m:e>
                                      <m:sub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𝑡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n-U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𝑢</m:t>
                                        </m:r>
                                      </m:e>
                                      <m:sub>
                                        <m:sSub>
                                          <m:sSubPr>
                                            <m:ctrlPr>
                                              <a:rPr lang="en-US" sz="14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US" sz="14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  <m:t>𝑡</m:t>
                                            </m:r>
                                          </m:e>
                                          <m:sub>
                                            <m:r>
                                              <a:rPr lang="en-US" sz="14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  <m:t>𝑁</m:t>
                                            </m:r>
                                          </m:sub>
                                        </m:sSub>
                                      </m:sub>
                                    </m:sSub>
                                  </m:num>
                                  <m:den>
                                    <m:r>
                                      <a:rPr lang="en-U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pt-PT" sz="1400"/>
            </a:p>
          </xdr:txBody>
        </xdr:sp>
      </mc:Choice>
      <mc:Fallback>
        <xdr:sp macro="" textlink="">
          <xdr:nvSpPr>
            <xdr:cNvPr id="5" name="TextBox 4"/>
            <xdr:cNvSpPr txBox="1"/>
          </xdr:nvSpPr>
          <xdr:spPr>
            <a:xfrm>
              <a:off x="4311650" y="5156200"/>
              <a:ext cx="2076658" cy="778739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𝑢_(𝑡_𝑁 )/𝑡=𝑢_𝑡/(𝑡∙√𝑁) ⇒┴  𝑁=(𝑢_𝑡/𝑡)^2/(𝑢_(𝑡_𝑁 )/𝑡)^2 </a:t>
              </a:r>
              <a:endParaRPr lang="pt-PT" sz="1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6"/>
  <sheetViews>
    <sheetView tabSelected="1" workbookViewId="0">
      <selection activeCell="A2" sqref="A2"/>
    </sheetView>
  </sheetViews>
  <sheetFormatPr defaultRowHeight="14.5" x14ac:dyDescent="0.35"/>
  <sheetData>
    <row r="3" spans="2:11" x14ac:dyDescent="0.35">
      <c r="B3" t="s">
        <v>10</v>
      </c>
      <c r="C3" s="3" t="s">
        <v>0</v>
      </c>
    </row>
    <row r="4" spans="2:11" x14ac:dyDescent="0.35">
      <c r="B4" s="9">
        <v>6.83</v>
      </c>
      <c r="C4" s="9">
        <v>6.72</v>
      </c>
      <c r="D4" s="9">
        <v>7.36</v>
      </c>
      <c r="E4" s="9">
        <v>7.9</v>
      </c>
      <c r="F4" s="9">
        <v>7.43</v>
      </c>
      <c r="G4" s="9">
        <v>6.78</v>
      </c>
      <c r="H4" s="9">
        <v>8.24</v>
      </c>
      <c r="I4" s="9">
        <v>8.01</v>
      </c>
      <c r="J4" s="9">
        <v>7.38</v>
      </c>
      <c r="K4" s="9">
        <v>7.59</v>
      </c>
    </row>
    <row r="5" spans="2:11" x14ac:dyDescent="0.35">
      <c r="B5" s="9">
        <v>9.0500000000000007</v>
      </c>
      <c r="C5" s="9">
        <v>7.5</v>
      </c>
      <c r="D5" s="9">
        <v>7.98</v>
      </c>
      <c r="E5" s="9">
        <v>6.72</v>
      </c>
      <c r="F5" s="9">
        <v>6.7</v>
      </c>
      <c r="G5" s="9">
        <v>7.44</v>
      </c>
      <c r="H5" s="9">
        <v>6.03</v>
      </c>
      <c r="I5" s="9">
        <v>6.66</v>
      </c>
      <c r="J5" s="9">
        <v>8.2799999999999994</v>
      </c>
      <c r="K5" s="9">
        <v>8.19</v>
      </c>
    </row>
    <row r="6" spans="2:11" x14ac:dyDescent="0.35">
      <c r="B6" s="9">
        <v>8.1999999999999993</v>
      </c>
      <c r="C6" s="9">
        <v>7.98</v>
      </c>
      <c r="D6" s="9">
        <v>7.04</v>
      </c>
      <c r="E6" s="9">
        <v>8.67</v>
      </c>
      <c r="F6" s="9">
        <v>8.43</v>
      </c>
      <c r="G6" s="9">
        <v>7.37</v>
      </c>
      <c r="H6" s="9">
        <v>7.28</v>
      </c>
      <c r="I6" s="9">
        <v>7.3</v>
      </c>
      <c r="J6" s="9">
        <v>7.26</v>
      </c>
      <c r="K6" s="9">
        <v>7.93</v>
      </c>
    </row>
    <row r="8" spans="2:11" x14ac:dyDescent="0.35">
      <c r="B8" s="2" t="s">
        <v>11</v>
      </c>
      <c r="C8" s="11">
        <f>AVERAGE(B4:K6)</f>
        <v>7.541666666666667</v>
      </c>
      <c r="D8" s="3" t="s">
        <v>0</v>
      </c>
    </row>
    <row r="9" spans="2:11" x14ac:dyDescent="0.35">
      <c r="B9" s="2" t="s">
        <v>14</v>
      </c>
      <c r="C9" s="18">
        <f>COUNT(B4:K6)</f>
        <v>30</v>
      </c>
      <c r="D9" s="3"/>
    </row>
    <row r="10" spans="2:11" ht="16.5" x14ac:dyDescent="0.35">
      <c r="B10" s="7" t="s">
        <v>12</v>
      </c>
      <c r="C10" s="10">
        <f t="array" ref="C10">SUM(B4:K6^2)/C9</f>
        <v>57.339663333333327</v>
      </c>
      <c r="D10" s="3" t="s">
        <v>13</v>
      </c>
    </row>
    <row r="11" spans="2:11" x14ac:dyDescent="0.35">
      <c r="B11" s="2"/>
      <c r="C11" s="11"/>
    </row>
    <row r="12" spans="2:11" x14ac:dyDescent="0.35">
      <c r="B12" s="2"/>
      <c r="C12" s="11"/>
    </row>
    <row r="13" spans="2:11" x14ac:dyDescent="0.35">
      <c r="B13" s="2"/>
      <c r="C13" s="11"/>
    </row>
    <row r="14" spans="2:11" x14ac:dyDescent="0.35">
      <c r="B14" s="2"/>
      <c r="C14" s="11"/>
    </row>
    <row r="15" spans="2:11" x14ac:dyDescent="0.35">
      <c r="B15" s="2"/>
      <c r="C15" s="11"/>
    </row>
    <row r="16" spans="2:11" x14ac:dyDescent="0.35">
      <c r="B16" s="2"/>
      <c r="C16" s="11"/>
    </row>
    <row r="17" spans="1:6" x14ac:dyDescent="0.35">
      <c r="B17" s="2"/>
      <c r="C17" s="11"/>
    </row>
    <row r="18" spans="1:6" x14ac:dyDescent="0.35">
      <c r="B18" s="2"/>
      <c r="C18" s="11"/>
    </row>
    <row r="19" spans="1:6" ht="16.5" x14ac:dyDescent="0.45">
      <c r="A19" s="1" t="s">
        <v>3</v>
      </c>
      <c r="B19" s="2" t="s">
        <v>15</v>
      </c>
      <c r="C19" s="11">
        <f>SQRT(C9/(C9-1)*(C10-C8^2))</f>
        <v>0.69201895196955965</v>
      </c>
      <c r="D19" s="3" t="s">
        <v>0</v>
      </c>
    </row>
    <row r="20" spans="1:6" ht="16.5" x14ac:dyDescent="0.45">
      <c r="A20" s="1" t="s">
        <v>4</v>
      </c>
      <c r="B20" s="2" t="s">
        <v>16</v>
      </c>
      <c r="C20" s="11">
        <f>C19/SQRT(C9)</f>
        <v>0.12634479673827065</v>
      </c>
      <c r="D20" s="3" t="s">
        <v>0</v>
      </c>
    </row>
    <row r="21" spans="1:6" x14ac:dyDescent="0.35">
      <c r="B21" s="1" t="s">
        <v>17</v>
      </c>
      <c r="C21" s="10">
        <f>C8</f>
        <v>7.541666666666667</v>
      </c>
      <c r="D21" s="17" t="s">
        <v>5</v>
      </c>
      <c r="E21" s="10">
        <f>C20</f>
        <v>0.12634479673827065</v>
      </c>
      <c r="F21" s="3" t="s">
        <v>0</v>
      </c>
    </row>
    <row r="24" spans="1:6" x14ac:dyDescent="0.35">
      <c r="B24" s="2" t="s">
        <v>11</v>
      </c>
      <c r="C24" s="11">
        <f>SUM(B4:K6)/C25</f>
        <v>7.541666666666667</v>
      </c>
      <c r="D24" s="3" t="s">
        <v>0</v>
      </c>
    </row>
    <row r="25" spans="1:6" x14ac:dyDescent="0.35">
      <c r="B25" s="2" t="s">
        <v>14</v>
      </c>
      <c r="C25" s="18">
        <f>COUNT(B4:K6)</f>
        <v>30</v>
      </c>
      <c r="D25" s="3"/>
    </row>
    <row r="26" spans="1:6" ht="16.5" x14ac:dyDescent="0.35">
      <c r="B26" s="7" t="s">
        <v>12</v>
      </c>
      <c r="C26" s="10">
        <f t="array" ref="C26">SUM(B4:K6^2)/C25</f>
        <v>57.339663333333327</v>
      </c>
      <c r="D26" s="3" t="s">
        <v>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9"/>
  <sheetViews>
    <sheetView workbookViewId="0">
      <selection activeCell="B5" sqref="B5"/>
    </sheetView>
  </sheetViews>
  <sheetFormatPr defaultRowHeight="14.5" x14ac:dyDescent="0.35"/>
  <sheetData>
    <row r="2" spans="1:6" x14ac:dyDescent="0.35">
      <c r="C2" t="s">
        <v>20</v>
      </c>
    </row>
    <row r="3" spans="1:6" x14ac:dyDescent="0.35">
      <c r="C3" t="s">
        <v>18</v>
      </c>
      <c r="D3" t="s">
        <v>19</v>
      </c>
    </row>
    <row r="4" spans="1:6" x14ac:dyDescent="0.35">
      <c r="C4" s="19">
        <v>1.4999999999999999E-2</v>
      </c>
      <c r="D4" s="2">
        <v>2</v>
      </c>
    </row>
    <row r="7" spans="1:6" x14ac:dyDescent="0.35">
      <c r="C7" s="2" t="s">
        <v>7</v>
      </c>
      <c r="D7" s="2" t="s">
        <v>24</v>
      </c>
      <c r="E7" s="2" t="s">
        <v>9</v>
      </c>
    </row>
    <row r="8" spans="1:6" ht="16.5" x14ac:dyDescent="0.45">
      <c r="B8" s="1" t="s">
        <v>21</v>
      </c>
      <c r="C8" s="4">
        <v>16.43</v>
      </c>
      <c r="D8" s="4">
        <v>0.01</v>
      </c>
      <c r="E8" s="6">
        <f>C8*$C$4+D8*$D$4</f>
        <v>0.26644999999999996</v>
      </c>
      <c r="F8" s="8" t="s">
        <v>8</v>
      </c>
    </row>
    <row r="9" spans="1:6" ht="16.5" x14ac:dyDescent="0.45">
      <c r="B9" s="1" t="s">
        <v>22</v>
      </c>
      <c r="C9" s="4">
        <v>6.69</v>
      </c>
      <c r="D9" s="4">
        <v>0.01</v>
      </c>
      <c r="E9" s="6">
        <f t="shared" ref="E9:E10" si="0">C9*$C$4+D9*$D$4</f>
        <v>0.12035000000000001</v>
      </c>
      <c r="F9" s="8" t="s">
        <v>8</v>
      </c>
    </row>
    <row r="10" spans="1:6" ht="16.5" x14ac:dyDescent="0.45">
      <c r="B10" s="1" t="s">
        <v>23</v>
      </c>
      <c r="C10" s="4">
        <v>9.67</v>
      </c>
      <c r="D10" s="4">
        <v>0.01</v>
      </c>
      <c r="E10" s="6">
        <f t="shared" si="0"/>
        <v>0.16504999999999997</v>
      </c>
      <c r="F10" s="8" t="s">
        <v>8</v>
      </c>
    </row>
    <row r="11" spans="1:6" x14ac:dyDescent="0.35">
      <c r="B11" s="1"/>
      <c r="C11" s="14"/>
      <c r="D11" s="20"/>
    </row>
    <row r="12" spans="1:6" x14ac:dyDescent="0.35">
      <c r="A12" s="1" t="s">
        <v>3</v>
      </c>
      <c r="B12" s="1"/>
      <c r="C12" s="14" t="s">
        <v>7</v>
      </c>
      <c r="D12" s="20" t="s">
        <v>9</v>
      </c>
    </row>
    <row r="13" spans="1:6" ht="16.5" x14ac:dyDescent="0.45">
      <c r="B13" s="1" t="s">
        <v>25</v>
      </c>
      <c r="C13" s="10">
        <f>C9+C10</f>
        <v>16.36</v>
      </c>
      <c r="D13" s="10">
        <f>SQRT(E9^2+E10^2)</f>
        <v>0.20426851201298743</v>
      </c>
      <c r="E13" s="8" t="s">
        <v>8</v>
      </c>
    </row>
    <row r="15" spans="1:6" ht="16.5" x14ac:dyDescent="0.45">
      <c r="B15" s="1" t="s">
        <v>26</v>
      </c>
      <c r="C15" s="10">
        <f>C8-C13</f>
        <v>7.0000000000000284E-2</v>
      </c>
      <c r="D15" s="10">
        <f>SQRT(E8^2+D13^2)</f>
        <v>0.33573982114131168</v>
      </c>
      <c r="E15" s="8" t="s">
        <v>8</v>
      </c>
      <c r="F15" t="s">
        <v>27</v>
      </c>
    </row>
    <row r="16" spans="1:6" x14ac:dyDescent="0.35">
      <c r="F16" t="s">
        <v>28</v>
      </c>
    </row>
    <row r="17" spans="1:6" x14ac:dyDescent="0.35">
      <c r="F17" t="s">
        <v>29</v>
      </c>
    </row>
    <row r="19" spans="1:6" x14ac:dyDescent="0.35">
      <c r="A19" s="1" t="s">
        <v>4</v>
      </c>
      <c r="B19">
        <v>1</v>
      </c>
      <c r="C19" t="s">
        <v>30</v>
      </c>
    </row>
    <row r="20" spans="1:6" x14ac:dyDescent="0.35">
      <c r="B20">
        <v>2</v>
      </c>
      <c r="C20" t="s">
        <v>31</v>
      </c>
    </row>
    <row r="21" spans="1:6" x14ac:dyDescent="0.35">
      <c r="B21">
        <v>3</v>
      </c>
      <c r="C21" t="s">
        <v>32</v>
      </c>
    </row>
    <row r="22" spans="1:6" x14ac:dyDescent="0.35">
      <c r="C22" t="s">
        <v>33</v>
      </c>
    </row>
    <row r="23" spans="1:6" x14ac:dyDescent="0.35">
      <c r="C23" t="s">
        <v>34</v>
      </c>
    </row>
    <row r="24" spans="1:6" x14ac:dyDescent="0.35">
      <c r="B24">
        <v>4</v>
      </c>
      <c r="C24" t="s">
        <v>35</v>
      </c>
    </row>
    <row r="25" spans="1:6" x14ac:dyDescent="0.35">
      <c r="C25" t="s">
        <v>36</v>
      </c>
    </row>
    <row r="26" spans="1:6" x14ac:dyDescent="0.35">
      <c r="C26" t="s">
        <v>37</v>
      </c>
    </row>
    <row r="27" spans="1:6" x14ac:dyDescent="0.35">
      <c r="C27" t="s">
        <v>38</v>
      </c>
    </row>
    <row r="28" spans="1:6" x14ac:dyDescent="0.35">
      <c r="C28" t="s">
        <v>39</v>
      </c>
    </row>
    <row r="29" spans="1:6" x14ac:dyDescent="0.35">
      <c r="C29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E24"/>
  <sheetViews>
    <sheetView workbookViewId="0">
      <selection activeCell="B13" sqref="B13"/>
    </sheetView>
  </sheetViews>
  <sheetFormatPr defaultRowHeight="14.5" x14ac:dyDescent="0.35"/>
  <sheetData>
    <row r="14" spans="2:5" ht="43.5" x14ac:dyDescent="0.35">
      <c r="C14" s="15" t="s">
        <v>42</v>
      </c>
    </row>
    <row r="15" spans="2:5" x14ac:dyDescent="0.35">
      <c r="B15" s="5" t="s">
        <v>41</v>
      </c>
      <c r="C15" s="22">
        <v>4.0000000000000001E-3</v>
      </c>
      <c r="D15" s="8"/>
      <c r="E15" s="8"/>
    </row>
    <row r="16" spans="2:5" x14ac:dyDescent="0.35">
      <c r="B16" s="5" t="s">
        <v>2</v>
      </c>
      <c r="C16" s="22">
        <v>6.9999999999999999E-4</v>
      </c>
      <c r="D16" s="8"/>
      <c r="E16" s="8"/>
    </row>
    <row r="17" spans="1:5" x14ac:dyDescent="0.35">
      <c r="B17" s="5" t="s">
        <v>46</v>
      </c>
      <c r="C17" s="21">
        <v>0.04</v>
      </c>
      <c r="D17" s="8"/>
      <c r="E17" s="8"/>
    </row>
    <row r="18" spans="1:5" x14ac:dyDescent="0.35">
      <c r="B18" s="5" t="s">
        <v>44</v>
      </c>
      <c r="C18" s="22">
        <v>5.0000000000000001E-3</v>
      </c>
      <c r="D18" s="8"/>
      <c r="E18" s="8"/>
    </row>
    <row r="19" spans="1:5" x14ac:dyDescent="0.35">
      <c r="B19" s="5" t="s">
        <v>45</v>
      </c>
      <c r="C19" s="21">
        <v>7.0000000000000007E-2</v>
      </c>
      <c r="D19" s="8"/>
      <c r="E19" s="8"/>
    </row>
    <row r="20" spans="1:5" ht="16.5" x14ac:dyDescent="0.35">
      <c r="B20" s="5" t="s">
        <v>43</v>
      </c>
      <c r="C20" s="23">
        <f>4*C17</f>
        <v>0.16</v>
      </c>
      <c r="D20" s="16"/>
      <c r="E20" s="8"/>
    </row>
    <row r="21" spans="1:5" x14ac:dyDescent="0.35">
      <c r="A21" s="1" t="s">
        <v>3</v>
      </c>
      <c r="B21" s="5" t="s">
        <v>6</v>
      </c>
      <c r="C21" s="23">
        <f>SQRT(C15^2+C16^2+C18^2+C19^2+C20^2)</f>
        <v>0.17476123712082151</v>
      </c>
      <c r="D21" s="16"/>
      <c r="E21" s="8"/>
    </row>
    <row r="23" spans="1:5" x14ac:dyDescent="0.35">
      <c r="A23" s="1" t="s">
        <v>4</v>
      </c>
      <c r="C23" t="s">
        <v>47</v>
      </c>
    </row>
    <row r="24" spans="1:5" x14ac:dyDescent="0.35">
      <c r="C24" t="s">
        <v>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38"/>
  <sheetViews>
    <sheetView zoomScaleNormal="100" workbookViewId="0">
      <selection activeCell="B3" sqref="B3"/>
    </sheetView>
  </sheetViews>
  <sheetFormatPr defaultRowHeight="14.5" x14ac:dyDescent="0.35"/>
  <sheetData>
    <row r="4" spans="1:6" x14ac:dyDescent="0.35">
      <c r="A4" s="1" t="s">
        <v>3</v>
      </c>
    </row>
    <row r="6" spans="1:6" x14ac:dyDescent="0.35">
      <c r="B6" s="24" t="s">
        <v>49</v>
      </c>
    </row>
    <row r="8" spans="1:6" x14ac:dyDescent="0.35">
      <c r="F8" t="s">
        <v>51</v>
      </c>
    </row>
    <row r="13" spans="1:6" x14ac:dyDescent="0.35">
      <c r="B13" s="24" t="s">
        <v>50</v>
      </c>
    </row>
    <row r="15" spans="1:6" x14ac:dyDescent="0.35">
      <c r="F15" t="s">
        <v>52</v>
      </c>
    </row>
    <row r="19" spans="1:6" x14ac:dyDescent="0.35">
      <c r="B19" t="s">
        <v>53</v>
      </c>
    </row>
    <row r="20" spans="1:6" x14ac:dyDescent="0.35">
      <c r="C20" t="s">
        <v>54</v>
      </c>
    </row>
    <row r="22" spans="1:6" x14ac:dyDescent="0.35">
      <c r="A22" s="1" t="s">
        <v>4</v>
      </c>
    </row>
    <row r="24" spans="1:6" x14ac:dyDescent="0.35">
      <c r="B24" s="24" t="s">
        <v>49</v>
      </c>
    </row>
    <row r="26" spans="1:6" x14ac:dyDescent="0.35">
      <c r="F26" t="s">
        <v>51</v>
      </c>
    </row>
    <row r="31" spans="1:6" x14ac:dyDescent="0.35">
      <c r="B31" s="24" t="s">
        <v>50</v>
      </c>
    </row>
    <row r="33" spans="2:6" x14ac:dyDescent="0.35">
      <c r="F33" t="s">
        <v>52</v>
      </c>
    </row>
    <row r="37" spans="2:6" x14ac:dyDescent="0.35">
      <c r="B37" t="s">
        <v>55</v>
      </c>
    </row>
    <row r="38" spans="2:6" x14ac:dyDescent="0.35">
      <c r="C38" t="s">
        <v>54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I36"/>
  <sheetViews>
    <sheetView workbookViewId="0">
      <selection activeCell="B3" sqref="B3"/>
    </sheetView>
  </sheetViews>
  <sheetFormatPr defaultRowHeight="14.5" x14ac:dyDescent="0.35"/>
  <cols>
    <col min="6" max="6" width="9.36328125" customWidth="1"/>
  </cols>
  <sheetData>
    <row r="5" spans="2:7" x14ac:dyDescent="0.35">
      <c r="B5" s="24" t="s">
        <v>49</v>
      </c>
    </row>
    <row r="9" spans="2:7" x14ac:dyDescent="0.35">
      <c r="B9" s="24" t="s">
        <v>50</v>
      </c>
    </row>
    <row r="13" spans="2:7" x14ac:dyDescent="0.35">
      <c r="B13" s="1" t="s">
        <v>3</v>
      </c>
      <c r="D13" t="s">
        <v>56</v>
      </c>
      <c r="G13" t="s">
        <v>60</v>
      </c>
    </row>
    <row r="15" spans="2:7" ht="43.5" x14ac:dyDescent="0.35">
      <c r="D15" s="15" t="s">
        <v>59</v>
      </c>
      <c r="E15" s="2"/>
      <c r="G15" s="15" t="s">
        <v>59</v>
      </c>
    </row>
    <row r="16" spans="2:7" x14ac:dyDescent="0.35">
      <c r="C16" s="1" t="s">
        <v>57</v>
      </c>
      <c r="D16" s="22">
        <v>1E-3</v>
      </c>
      <c r="E16" s="2"/>
      <c r="F16" s="1" t="s">
        <v>57</v>
      </c>
      <c r="G16" s="22">
        <v>1E-3</v>
      </c>
    </row>
    <row r="17" spans="2:9" x14ac:dyDescent="0.35">
      <c r="C17" s="1" t="s">
        <v>58</v>
      </c>
      <c r="D17" s="22">
        <v>5.0000000000000001E-3</v>
      </c>
      <c r="E17" s="2"/>
      <c r="F17" s="1" t="s">
        <v>1</v>
      </c>
      <c r="G17" s="22">
        <v>1E-3</v>
      </c>
      <c r="I17" s="2" t="s">
        <v>61</v>
      </c>
    </row>
    <row r="18" spans="2:9" x14ac:dyDescent="0.35">
      <c r="C18" s="1" t="s">
        <v>2</v>
      </c>
      <c r="D18" s="25">
        <f>SQRT(D16^2+2^2*D17^2)</f>
        <v>1.0049875621120891E-2</v>
      </c>
      <c r="E18" s="2"/>
      <c r="F18" s="1" t="s">
        <v>2</v>
      </c>
      <c r="G18" s="25">
        <f>SQRT(G16^2+2^2*G17^2)</f>
        <v>2.2360679774997894E-3</v>
      </c>
      <c r="I18" s="10">
        <f>D18/G18</f>
        <v>4.4944410108488473</v>
      </c>
    </row>
    <row r="20" spans="2:9" x14ac:dyDescent="0.35">
      <c r="C20" s="13" t="s">
        <v>62</v>
      </c>
    </row>
    <row r="22" spans="2:9" x14ac:dyDescent="0.35">
      <c r="B22" s="1" t="s">
        <v>4</v>
      </c>
      <c r="D22" t="s">
        <v>56</v>
      </c>
    </row>
    <row r="24" spans="2:9" ht="43.5" x14ac:dyDescent="0.35">
      <c r="D24" s="15" t="s">
        <v>59</v>
      </c>
      <c r="E24" s="27" t="s">
        <v>63</v>
      </c>
      <c r="F24" s="27" t="s">
        <v>64</v>
      </c>
    </row>
    <row r="25" spans="2:9" x14ac:dyDescent="0.35">
      <c r="C25" s="1" t="s">
        <v>57</v>
      </c>
      <c r="D25" s="22">
        <v>1E-3</v>
      </c>
    </row>
    <row r="26" spans="2:9" x14ac:dyDescent="0.35">
      <c r="C26" s="1" t="s">
        <v>58</v>
      </c>
      <c r="D26" s="22">
        <v>5.0000000000000001E-3</v>
      </c>
      <c r="F26" s="28">
        <f>1/2*SQRT(E27^2-D25^2)</f>
        <v>2.4999999999999984E-4</v>
      </c>
    </row>
    <row r="27" spans="2:9" x14ac:dyDescent="0.35">
      <c r="C27" s="1" t="s">
        <v>2</v>
      </c>
      <c r="D27" s="25">
        <f>SQRT(D25^2+2^2*D26^2)</f>
        <v>1.0049875621120891E-2</v>
      </c>
      <c r="E27" s="26">
        <f>D27/2/I18</f>
        <v>1.1180339887498947E-3</v>
      </c>
    </row>
    <row r="30" spans="2:9" x14ac:dyDescent="0.35">
      <c r="D30" t="s">
        <v>65</v>
      </c>
    </row>
    <row r="31" spans="2:9" x14ac:dyDescent="0.35">
      <c r="C31" s="1" t="s">
        <v>14</v>
      </c>
      <c r="D31" s="12">
        <f>D26^2/F26^2</f>
        <v>400.00000000000057</v>
      </c>
    </row>
    <row r="33" spans="4:4" x14ac:dyDescent="0.35">
      <c r="D33" t="s">
        <v>66</v>
      </c>
    </row>
    <row r="34" spans="4:4" x14ac:dyDescent="0.35">
      <c r="D34" t="s">
        <v>67</v>
      </c>
    </row>
    <row r="35" spans="4:4" x14ac:dyDescent="0.35">
      <c r="D35" t="s">
        <v>68</v>
      </c>
    </row>
    <row r="36" spans="4:4" x14ac:dyDescent="0.35">
      <c r="D36" t="s">
        <v>69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22"/>
  <sheetViews>
    <sheetView workbookViewId="0">
      <selection activeCell="C3" sqref="C3"/>
    </sheetView>
  </sheetViews>
  <sheetFormatPr defaultRowHeight="14.5" x14ac:dyDescent="0.35"/>
  <sheetData>
    <row r="4" spans="1:6" x14ac:dyDescent="0.35">
      <c r="A4" s="1" t="s">
        <v>3</v>
      </c>
    </row>
    <row r="5" spans="1:6" x14ac:dyDescent="0.35">
      <c r="C5" t="s">
        <v>73</v>
      </c>
      <c r="F5" t="s">
        <v>74</v>
      </c>
    </row>
    <row r="6" spans="1:6" ht="16.5" x14ac:dyDescent="0.45">
      <c r="B6" s="1" t="s">
        <v>70</v>
      </c>
      <c r="C6" s="29">
        <v>0.1</v>
      </c>
      <c r="E6" s="1" t="s">
        <v>70</v>
      </c>
      <c r="F6" s="29">
        <v>0.5</v>
      </c>
    </row>
    <row r="7" spans="1:6" ht="16.5" x14ac:dyDescent="0.45">
      <c r="B7" s="1" t="s">
        <v>71</v>
      </c>
      <c r="C7" s="29">
        <v>1</v>
      </c>
      <c r="E7" s="1" t="s">
        <v>71</v>
      </c>
      <c r="F7" s="29">
        <v>0.5</v>
      </c>
    </row>
    <row r="8" spans="1:6" x14ac:dyDescent="0.35">
      <c r="B8" s="1" t="s">
        <v>14</v>
      </c>
      <c r="C8" s="4">
        <v>1</v>
      </c>
      <c r="E8" s="1" t="s">
        <v>14</v>
      </c>
      <c r="F8" s="4">
        <v>1</v>
      </c>
    </row>
    <row r="9" spans="1:6" x14ac:dyDescent="0.35">
      <c r="B9" s="1" t="s">
        <v>72</v>
      </c>
      <c r="C9" s="11">
        <f>SQRT(C6^2+C7^2/C8)</f>
        <v>1.004987562112089</v>
      </c>
      <c r="E9" s="1" t="s">
        <v>72</v>
      </c>
      <c r="F9" s="11">
        <f>SQRT(F6^2+F7^2/F8)</f>
        <v>0.70710678118654757</v>
      </c>
    </row>
    <row r="11" spans="1:6" x14ac:dyDescent="0.35">
      <c r="C11" t="s">
        <v>75</v>
      </c>
    </row>
    <row r="13" spans="1:6" x14ac:dyDescent="0.35">
      <c r="A13" s="1" t="s">
        <v>4</v>
      </c>
    </row>
    <row r="14" spans="1:6" x14ac:dyDescent="0.35">
      <c r="C14" t="s">
        <v>73</v>
      </c>
      <c r="F14" t="s">
        <v>74</v>
      </c>
    </row>
    <row r="15" spans="1:6" ht="16.5" x14ac:dyDescent="0.45">
      <c r="B15" s="1" t="s">
        <v>70</v>
      </c>
      <c r="C15" s="29">
        <v>0.1</v>
      </c>
      <c r="E15" s="1" t="s">
        <v>70</v>
      </c>
      <c r="F15" s="29">
        <v>0.5</v>
      </c>
    </row>
    <row r="16" spans="1:6" ht="16.5" x14ac:dyDescent="0.45">
      <c r="B16" s="1" t="s">
        <v>71</v>
      </c>
      <c r="C16" s="29">
        <v>1</v>
      </c>
      <c r="E16" s="1" t="s">
        <v>71</v>
      </c>
      <c r="F16" s="29">
        <v>0.5</v>
      </c>
    </row>
    <row r="17" spans="2:6" x14ac:dyDescent="0.35">
      <c r="B17" s="1" t="s">
        <v>14</v>
      </c>
      <c r="C17" s="4">
        <v>100</v>
      </c>
      <c r="E17" s="1" t="s">
        <v>14</v>
      </c>
      <c r="F17" s="4">
        <v>100</v>
      </c>
    </row>
    <row r="18" spans="2:6" x14ac:dyDescent="0.35">
      <c r="B18" s="1" t="s">
        <v>72</v>
      </c>
      <c r="C18" s="11">
        <f>SQRT(C15^2+C16^2/C17)</f>
        <v>0.14142135623730953</v>
      </c>
      <c r="E18" s="1" t="s">
        <v>72</v>
      </c>
      <c r="F18" s="11">
        <f>SQRT(F15^2+F16^2/F17)</f>
        <v>0.50249378105604448</v>
      </c>
    </row>
    <row r="20" spans="2:6" x14ac:dyDescent="0.35">
      <c r="C20" t="s">
        <v>76</v>
      </c>
    </row>
    <row r="21" spans="2:6" x14ac:dyDescent="0.35">
      <c r="C21" t="s">
        <v>77</v>
      </c>
    </row>
    <row r="22" spans="2:6" x14ac:dyDescent="0.35">
      <c r="C22" t="s">
        <v>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1fc94e-6345-4919-8801-cb2453a9716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F21B70640A2E45B73D6603D386F931" ma:contentTypeVersion="14" ma:contentTypeDescription="Criar um novo documento." ma:contentTypeScope="" ma:versionID="cb8e284076328c6c06c9c918404effe8">
  <xsd:schema xmlns:xsd="http://www.w3.org/2001/XMLSchema" xmlns:xs="http://www.w3.org/2001/XMLSchema" xmlns:p="http://schemas.microsoft.com/office/2006/metadata/properties" xmlns:ns3="b81fc94e-6345-4919-8801-cb2453a9716a" xmlns:ns4="7c284bd3-9d49-4966-bb9a-4f9a50667e8c" targetNamespace="http://schemas.microsoft.com/office/2006/metadata/properties" ma:root="true" ma:fieldsID="aa5d50224a109e2156ea85e3c4f35d50" ns3:_="" ns4:_="">
    <xsd:import namespace="b81fc94e-6345-4919-8801-cb2453a9716a"/>
    <xsd:import namespace="7c284bd3-9d49-4966-bb9a-4f9a50667e8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1fc94e-6345-4919-8801-cb2453a971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84bd3-9d49-4966-bb9a-4f9a50667e8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ash de Sugestão de Partilh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1BBC7B-91CF-483F-9887-A25F684AE4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F64E56-8898-4AFC-B0A0-756E280A02C0}">
  <ds:schemaRefs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7c284bd3-9d49-4966-bb9a-4f9a50667e8c"/>
    <ds:schemaRef ds:uri="b81fc94e-6345-4919-8801-cb2453a9716a"/>
  </ds:schemaRefs>
</ds:datastoreItem>
</file>

<file path=customXml/itemProps3.xml><?xml version="1.0" encoding="utf-8"?>
<ds:datastoreItem xmlns:ds="http://schemas.openxmlformats.org/officeDocument/2006/customXml" ds:itemID="{0EBCE922-31FE-4791-8C1C-5CBC4FF55D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1fc94e-6345-4919-8801-cb2453a9716a"/>
    <ds:schemaRef ds:uri="7c284bd3-9d49-4966-bb9a-4f9a50667e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Prob_1</vt:lpstr>
      <vt:lpstr>Prob_2</vt:lpstr>
      <vt:lpstr>Prob_3</vt:lpstr>
      <vt:lpstr>Prob_4</vt:lpstr>
      <vt:lpstr>Prob_5</vt:lpstr>
      <vt:lpstr>Prob_6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</dc:creator>
  <cp:lastModifiedBy>Vicente</cp:lastModifiedBy>
  <dcterms:created xsi:type="dcterms:W3CDTF">2023-10-22T10:10:31Z</dcterms:created>
  <dcterms:modified xsi:type="dcterms:W3CDTF">2023-11-29T15:31:06Z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0x010100F1F21B70640A2E45B73D6603D386F931</vt:lpwstr>
  </property>
</Properties>
</file>