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ente\OneDrive - Universidade do Minho\Documentos\Alunos\2324\IFE\Aulas_T\Aula_08_08-novembro_Propagação de incertezas\"/>
    </mc:Choice>
  </mc:AlternateContent>
  <bookViews>
    <workbookView xWindow="0" yWindow="0" windowWidth="20980" windowHeight="17560"/>
  </bookViews>
  <sheets>
    <sheet name="Prob_1" sheetId="1" r:id="rId1"/>
    <sheet name="Prob_2" sheetId="2" r:id="rId2"/>
    <sheet name="Prob_3" sheetId="3" r:id="rId3"/>
    <sheet name="Prob_4" sheetId="4" r:id="rId4"/>
    <sheet name="Prob_5" sheetId="5" r:id="rId5"/>
    <sheet name="Prob_6_bug" sheetId="6" r:id="rId6"/>
    <sheet name="Prob_6_correto" sheetId="8" r:id="rId7"/>
    <sheet name="Prob_7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3" l="1"/>
  <c r="F23" i="3"/>
  <c r="F22" i="3"/>
  <c r="F21" i="3"/>
  <c r="D16" i="3"/>
  <c r="C16" i="3"/>
  <c r="H28" i="8" l="1"/>
  <c r="C35" i="8" s="1"/>
  <c r="H29" i="8"/>
  <c r="H30" i="8"/>
  <c r="H31" i="8"/>
  <c r="H32" i="8"/>
  <c r="H33" i="8"/>
  <c r="H27" i="8"/>
  <c r="G33" i="8"/>
  <c r="G32" i="8"/>
  <c r="G31" i="8"/>
  <c r="G30" i="8"/>
  <c r="G29" i="8"/>
  <c r="G28" i="8"/>
  <c r="G27" i="8"/>
  <c r="F26" i="8"/>
  <c r="G26" i="8"/>
  <c r="F29" i="8"/>
  <c r="F28" i="8"/>
  <c r="F27" i="8"/>
  <c r="F30" i="8"/>
  <c r="F31" i="8"/>
  <c r="F32" i="8"/>
  <c r="F33" i="8"/>
  <c r="E29" i="8"/>
  <c r="E28" i="8"/>
  <c r="E27" i="8"/>
  <c r="E33" i="8"/>
  <c r="E32" i="8"/>
  <c r="E31" i="8"/>
  <c r="E30" i="8"/>
  <c r="E19" i="8"/>
  <c r="F19" i="8" s="1"/>
  <c r="G19" i="8" s="1"/>
  <c r="E18" i="8"/>
  <c r="F18" i="8" s="1"/>
  <c r="G18" i="8" s="1"/>
  <c r="E17" i="8"/>
  <c r="F17" i="8" s="1"/>
  <c r="G17" i="8" s="1"/>
  <c r="F16" i="8"/>
  <c r="C22" i="8" s="1"/>
  <c r="C21" i="8" l="1"/>
  <c r="E22" i="8" s="1"/>
  <c r="C36" i="8"/>
  <c r="C37" i="8" s="1"/>
  <c r="E8" i="7"/>
  <c r="C8" i="7"/>
  <c r="D6" i="7"/>
  <c r="C6" i="7"/>
  <c r="E36" i="6"/>
  <c r="C36" i="6"/>
  <c r="E35" i="6"/>
  <c r="C35" i="6"/>
  <c r="C34" i="6"/>
  <c r="G28" i="6"/>
  <c r="G29" i="6"/>
  <c r="G30" i="6"/>
  <c r="G31" i="6"/>
  <c r="G32" i="6"/>
  <c r="G27" i="6"/>
  <c r="F19" i="6"/>
  <c r="F18" i="6"/>
  <c r="F17" i="6"/>
  <c r="F16" i="6"/>
  <c r="C22" i="6" s="1"/>
  <c r="C27" i="6" s="1"/>
  <c r="E28" i="6"/>
  <c r="E32" i="6"/>
  <c r="E31" i="6"/>
  <c r="E18" i="6"/>
  <c r="E19" i="6"/>
  <c r="E29" i="6"/>
  <c r="E30" i="6"/>
  <c r="E17" i="6"/>
  <c r="E24" i="5"/>
  <c r="C24" i="5"/>
  <c r="C21" i="5"/>
  <c r="D19" i="5"/>
  <c r="C19" i="5"/>
  <c r="C13" i="5"/>
  <c r="D13" i="5"/>
  <c r="F32" i="6" l="1"/>
  <c r="F28" i="6"/>
  <c r="F30" i="6"/>
  <c r="F26" i="6"/>
  <c r="F31" i="6"/>
  <c r="F29" i="6"/>
  <c r="G18" i="6"/>
  <c r="G19" i="6"/>
  <c r="G17" i="6"/>
  <c r="G22" i="3"/>
  <c r="E23" i="3"/>
  <c r="E24" i="3"/>
  <c r="E22" i="3"/>
  <c r="G8" i="2"/>
  <c r="G6" i="2"/>
  <c r="G9" i="2" s="1"/>
  <c r="C9" i="2"/>
  <c r="C8" i="2"/>
  <c r="C6" i="2"/>
  <c r="C19" i="1"/>
  <c r="C10" i="1"/>
  <c r="C11" i="1" s="1"/>
  <c r="E12" i="1" s="1"/>
  <c r="C18" i="1" a="1"/>
  <c r="C18" i="1" s="1"/>
  <c r="C17" i="1"/>
  <c r="C12" i="1"/>
  <c r="C9" i="1"/>
  <c r="E36" i="8" l="1"/>
  <c r="E37" i="8" s="1"/>
  <c r="C21" i="6"/>
  <c r="E22" i="6" s="1"/>
  <c r="D27" i="6" s="1"/>
  <c r="E27" i="6" s="1"/>
  <c r="F27" i="6" s="1"/>
  <c r="G23" i="3" l="1"/>
  <c r="G24" i="3"/>
  <c r="C26" i="3" l="1"/>
</calcChain>
</file>

<file path=xl/sharedStrings.xml><?xml version="1.0" encoding="utf-8"?>
<sst xmlns="http://schemas.openxmlformats.org/spreadsheetml/2006/main" count="235" uniqueCount="102">
  <si>
    <t>m</t>
  </si>
  <si>
    <t>s</t>
  </si>
  <si>
    <t>V</t>
  </si>
  <si>
    <t>I</t>
  </si>
  <si>
    <t>triangular</t>
  </si>
  <si>
    <t>FDP</t>
  </si>
  <si>
    <t>T</t>
  </si>
  <si>
    <r>
      <t>a</t>
    </r>
    <r>
      <rPr>
        <vertAlign val="subscript"/>
        <sz val="11"/>
        <color theme="1"/>
        <rFont val="Calibri"/>
        <family val="2"/>
        <scheme val="minor"/>
      </rPr>
      <t>T</t>
    </r>
  </si>
  <si>
    <t>°C</t>
  </si>
  <si>
    <t>R</t>
  </si>
  <si>
    <t>Ω</t>
  </si>
  <si>
    <t>g</t>
  </si>
  <si>
    <t>Nota: este problema pertence ao capítulo seguinte sobre médias!</t>
  </si>
  <si>
    <r>
      <t>v</t>
    </r>
    <r>
      <rPr>
        <vertAlign val="subscript"/>
        <sz val="11"/>
        <color theme="1"/>
        <rFont val="Calibri"/>
        <family val="2"/>
        <scheme val="minor"/>
      </rPr>
      <t>1</t>
    </r>
  </si>
  <si>
    <r>
      <t>v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</si>
  <si>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v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</si>
  <si>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v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</si>
  <si>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m/s</t>
  </si>
  <si>
    <t>&lt;v&gt;</t>
  </si>
  <si>
    <r>
      <t>u</t>
    </r>
    <r>
      <rPr>
        <vertAlign val="subscript"/>
        <sz val="11"/>
        <color theme="1"/>
        <rFont val="Calibri"/>
        <family val="2"/>
        <scheme val="minor"/>
      </rPr>
      <t>v</t>
    </r>
  </si>
  <si>
    <r>
      <t>u</t>
    </r>
    <r>
      <rPr>
        <vertAlign val="subscript"/>
        <sz val="11"/>
        <color theme="1"/>
        <rFont val="Calibri"/>
        <family val="2"/>
        <scheme val="minor"/>
      </rPr>
      <t>&lt;v&gt;</t>
    </r>
  </si>
  <si>
    <t>a)</t>
  </si>
  <si>
    <t>b)</t>
  </si>
  <si>
    <t>±</t>
  </si>
  <si>
    <t>Cálculos alternativos (sem usar as fórmulas de estatística do Excel):</t>
  </si>
  <si>
    <t>°F</t>
  </si>
  <si>
    <r>
      <t>u</t>
    </r>
    <r>
      <rPr>
        <vertAlign val="subscript"/>
        <sz val="11"/>
        <color theme="1"/>
        <rFont val="Calibri"/>
        <family val="2"/>
        <scheme val="minor"/>
      </rPr>
      <t>T</t>
    </r>
  </si>
  <si>
    <t>ou</t>
  </si>
  <si>
    <t>ou …</t>
  </si>
  <si>
    <t>η</t>
  </si>
  <si>
    <t>valor</t>
  </si>
  <si>
    <t>mPa·s</t>
  </si>
  <si>
    <t>declive</t>
  </si>
  <si>
    <r>
      <t>Pa·m</t>
    </r>
    <r>
      <rPr>
        <vertAlign val="superscript"/>
        <sz val="11"/>
        <color rgb="FF008000"/>
        <rFont val="Calibri"/>
        <family val="2"/>
      </rPr>
      <t>−1</t>
    </r>
  </si>
  <si>
    <t>incerteza
padrão</t>
  </si>
  <si>
    <r>
      <t>R</t>
    </r>
    <r>
      <rPr>
        <vertAlign val="superscript"/>
        <sz val="11"/>
        <color theme="1"/>
        <rFont val="Calibri"/>
        <family val="2"/>
      </rPr>
      <t>2</t>
    </r>
  </si>
  <si>
    <r>
      <t>cm</t>
    </r>
    <r>
      <rPr>
        <vertAlign val="superscript"/>
        <sz val="11"/>
        <color rgb="FF008000"/>
        <rFont val="Calibri"/>
        <family val="2"/>
      </rPr>
      <t>2</t>
    </r>
  </si>
  <si>
    <r>
      <t>v</t>
    </r>
    <r>
      <rPr>
        <vertAlign val="subscript"/>
        <sz val="11"/>
        <color theme="1"/>
        <rFont val="Calibri"/>
        <family val="2"/>
      </rPr>
      <t>máx</t>
    </r>
  </si>
  <si>
    <t>Método analítico (como é um caso particular, só produtos, a fórmula é conhecida e não é necessário derivar a função):</t>
  </si>
  <si>
    <t>Método numérico:</t>
  </si>
  <si>
    <t>Valor</t>
  </si>
  <si>
    <t>soma</t>
  </si>
  <si>
    <t>Inc.Padr.</t>
  </si>
  <si>
    <t>c</t>
  </si>
  <si>
    <r>
      <t>u</t>
    </r>
    <r>
      <rPr>
        <vertAlign val="subscript"/>
        <sz val="11"/>
        <color theme="1"/>
        <rFont val="Calibri"/>
        <family val="2"/>
      </rPr>
      <t>vmáx</t>
    </r>
  </si>
  <si>
    <t>Seja s = a + b:</t>
  </si>
  <si>
    <r>
      <t>u</t>
    </r>
    <r>
      <rPr>
        <vertAlign val="subscript"/>
        <sz val="11"/>
        <color theme="1"/>
        <rFont val="Calibri"/>
        <family val="2"/>
        <scheme val="minor"/>
      </rPr>
      <t>s</t>
    </r>
  </si>
  <si>
    <t>=</t>
  </si>
  <si>
    <r>
      <t>raiz(u</t>
    </r>
    <r>
      <rPr>
        <vertAlign val="subscript"/>
        <sz val="11"/>
        <color theme="1"/>
        <rFont val="Calibri"/>
        <family val="2"/>
        <scheme val="minor"/>
      </rPr>
      <t>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u</t>
    </r>
    <r>
      <rPr>
        <vertAlign val="subscript"/>
        <sz val="11"/>
        <color theme="1"/>
        <rFont val="Calibri"/>
        <family val="2"/>
        <scheme val="minor"/>
      </rPr>
      <t>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</si>
  <si>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 xml:space="preserve">Suponhamos que a e b estão ambos expressos até às centézimas. </t>
  </si>
  <si>
    <r>
      <t>Nesse caso u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u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e u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= raiz(2) * u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1.4 u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1.4 u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≈ u</t>
    </r>
    <r>
      <rPr>
        <vertAlign val="subscript"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 xml:space="preserve"> = u</t>
    </r>
    <r>
      <rPr>
        <vertAlign val="subscript"/>
        <sz val="11"/>
        <color theme="1"/>
        <rFont val="Calibri"/>
        <family val="2"/>
      </rPr>
      <t>b</t>
    </r>
  </si>
  <si>
    <t>Assim, usar o resultado expresso às centézimas parece ser uma boa opção.</t>
  </si>
  <si>
    <t>Suponhamos que a está expresso às décimas e b às centézimas.</t>
  </si>
  <si>
    <r>
      <t>Nesse caso u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10u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e u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= raiz(101) * u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≈ 10u</t>
    </r>
    <r>
      <rPr>
        <vertAlign val="sub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= u</t>
    </r>
    <r>
      <rPr>
        <vertAlign val="subscript"/>
        <sz val="11"/>
        <color theme="1"/>
        <rFont val="Calibri"/>
        <family val="2"/>
      </rPr>
      <t>a</t>
    </r>
  </si>
  <si>
    <t>Assim, usar o resultado expresso às décimas parece ser uma boa opção.</t>
  </si>
  <si>
    <t>Etc.</t>
  </si>
  <si>
    <t>U = R I</t>
  </si>
  <si>
    <t>Circuito da esquerda:</t>
  </si>
  <si>
    <t>U</t>
  </si>
  <si>
    <t>mA</t>
  </si>
  <si>
    <t>inc.padr.</t>
  </si>
  <si>
    <t>despr.</t>
  </si>
  <si>
    <t>Circuito da direita:</t>
  </si>
  <si>
    <t>Nota: no enunciado falta um zero na incerteza do R^2.</t>
  </si>
  <si>
    <t>Podem simular o efeito dessa gralha alterando o valor nesta folha…</t>
  </si>
  <si>
    <r>
      <t>u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(95%)</t>
    </r>
  </si>
  <si>
    <t>Nota: supondo que a FDP de I é gaussiana.</t>
  </si>
  <si>
    <t>v</t>
  </si>
  <si>
    <t>(95%)</t>
  </si>
  <si>
    <t xml:space="preserve">I = </t>
  </si>
  <si>
    <r>
      <t>m</t>
    </r>
    <r>
      <rPr>
        <vertAlign val="subscript"/>
        <sz val="11"/>
        <color theme="1"/>
        <rFont val="Calibri"/>
        <family val="2"/>
      </rPr>
      <t>s</t>
    </r>
  </si>
  <si>
    <r>
      <t>m</t>
    </r>
    <r>
      <rPr>
        <vertAlign val="subscript"/>
        <sz val="11"/>
        <color theme="1"/>
        <rFont val="Calibri"/>
        <family val="2"/>
      </rPr>
      <t>mola</t>
    </r>
  </si>
  <si>
    <r>
      <t>Y</t>
    </r>
    <r>
      <rPr>
        <vertAlign val="subscript"/>
        <sz val="11"/>
        <color theme="1"/>
        <rFont val="Calibri"/>
        <family val="2"/>
      </rPr>
      <t>1</t>
    </r>
  </si>
  <si>
    <r>
      <t>Y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/>
    </r>
  </si>
  <si>
    <r>
      <t>ρ</t>
    </r>
    <r>
      <rPr>
        <vertAlign val="subscript"/>
        <sz val="11"/>
        <color theme="1"/>
        <rFont val="Calibri"/>
        <family val="2"/>
      </rPr>
      <t>água</t>
    </r>
  </si>
  <si>
    <r>
      <t>kg/m</t>
    </r>
    <r>
      <rPr>
        <vertAlign val="superscript"/>
        <sz val="11"/>
        <color rgb="FF008000"/>
        <rFont val="Calibri"/>
        <family val="2"/>
        <scheme val="minor"/>
      </rPr>
      <t>3</t>
    </r>
  </si>
  <si>
    <r>
      <t>m/s</t>
    </r>
    <r>
      <rPr>
        <vertAlign val="superscript"/>
        <sz val="11"/>
        <color rgb="FF008000"/>
        <rFont val="Calibri"/>
        <family val="2"/>
        <scheme val="minor"/>
      </rPr>
      <t>2</t>
    </r>
  </si>
  <si>
    <t>k</t>
  </si>
  <si>
    <t>N/m</t>
  </si>
  <si>
    <t>c(k)</t>
  </si>
  <si>
    <r>
      <t>u</t>
    </r>
    <r>
      <rPr>
        <vertAlign val="subscript"/>
        <sz val="11"/>
        <color theme="1"/>
        <rFont val="Calibri"/>
        <family val="2"/>
      </rPr>
      <t>k</t>
    </r>
  </si>
  <si>
    <t xml:space="preserve">k = </t>
  </si>
  <si>
    <r>
      <t>ρ</t>
    </r>
    <r>
      <rPr>
        <vertAlign val="subscript"/>
        <sz val="11"/>
        <color rgb="FF3333FF"/>
        <rFont val="Calibri"/>
        <family val="2"/>
      </rPr>
      <t>s</t>
    </r>
  </si>
  <si>
    <r>
      <t>u</t>
    </r>
    <r>
      <rPr>
        <vertAlign val="subscript"/>
        <sz val="11"/>
        <color theme="1"/>
        <rFont val="Calibri"/>
        <family val="2"/>
      </rPr>
      <t>ρs</t>
    </r>
  </si>
  <si>
    <r>
      <rPr>
        <sz val="11"/>
        <color theme="1"/>
        <rFont val="Calibri"/>
        <family val="2"/>
      </rPr>
      <t>ρ</t>
    </r>
    <r>
      <rPr>
        <vertAlign val="subscript"/>
        <sz val="11"/>
        <color theme="1"/>
        <rFont val="Calibri"/>
        <family val="2"/>
      </rPr>
      <t>s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= </t>
    </r>
  </si>
  <si>
    <t>(</t>
  </si>
  <si>
    <t>)</t>
  </si>
  <si>
    <r>
      <t>x10</t>
    </r>
    <r>
      <rPr>
        <vertAlign val="superscript"/>
        <sz val="11"/>
        <color rgb="FF3333FF"/>
        <rFont val="Calibri"/>
        <family val="2"/>
        <scheme val="minor"/>
      </rPr>
      <t>3</t>
    </r>
  </si>
  <si>
    <t>Comprimento D</t>
  </si>
  <si>
    <t>Largura D</t>
  </si>
  <si>
    <t>Pé direito D</t>
  </si>
  <si>
    <t>Inc.padr.</t>
  </si>
  <si>
    <r>
      <t>m</t>
    </r>
    <r>
      <rPr>
        <vertAlign val="superscript"/>
        <sz val="11"/>
        <color rgb="FF008000"/>
        <rFont val="Calibri"/>
        <family val="2"/>
      </rPr>
      <t>3</t>
    </r>
  </si>
  <si>
    <t>Volume D</t>
  </si>
  <si>
    <t xml:space="preserve">Volume D = </t>
  </si>
  <si>
    <t>O problema que aqui se coloca é o problema da definição da mensuranda, isto é, do que se pretende medir.</t>
  </si>
  <si>
    <t>O medidor laser tem uma incerteza pequena, mas as paredes, teto e chão da sala são bastante mais irregulares</t>
  </si>
  <si>
    <t>e não formam um paralelipípedo perfeito.</t>
  </si>
  <si>
    <t>Assim, cada medida do comprimento, largura e pé direito pode ter uma precisão muito grande e o produto das três também.</t>
  </si>
  <si>
    <t>Contudo, esse produto não representa uma tão boa assim estimativa do volume. O outro método, medir o comprimento, largura</t>
  </si>
  <si>
    <t>e pé direito em vários pontos e calcular uma média do volume permite obter uma melhor estimativa deste e da sua incerteza.</t>
  </si>
  <si>
    <t>c(ρ)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</si>
</sst>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"/>
    <numFmt numFmtId="165" formatCode="0.000"/>
    <numFmt numFmtId="166" formatCode="0.0"/>
    <numFmt numFmtId="167" formatCode="0.0E+00"/>
    <numFmt numFmtId="168" formatCode="0E+00"/>
  </numFmts>
  <fonts count="19" x14ac:knownFonts="1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1"/>
      <color rgb="FF3333FF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8000"/>
      <name val="Calibri"/>
      <family val="2"/>
    </font>
    <font>
      <sz val="11"/>
      <color rgb="FFFF0000"/>
      <name val="Calibri"/>
      <family val="2"/>
      <scheme val="minor"/>
    </font>
    <font>
      <sz val="11"/>
      <color rgb="FF3333FF"/>
      <name val="Calibri"/>
      <family val="2"/>
    </font>
    <font>
      <sz val="11"/>
      <name val="Calibri"/>
      <family val="2"/>
      <scheme val="minor"/>
    </font>
    <font>
      <vertAlign val="superscript"/>
      <sz val="11"/>
      <color rgb="FF008000"/>
      <name val="Calibri"/>
      <family val="2"/>
    </font>
    <font>
      <vertAlign val="superscript"/>
      <sz val="11"/>
      <color theme="1"/>
      <name val="Calibri"/>
      <family val="2"/>
    </font>
    <font>
      <b/>
      <sz val="11"/>
      <color rgb="FF3333FF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</font>
    <font>
      <vertAlign val="superscript"/>
      <sz val="11"/>
      <color rgb="FF3333FF"/>
      <name val="Calibri"/>
      <family val="2"/>
      <scheme val="minor"/>
    </font>
    <font>
      <vertAlign val="superscript"/>
      <sz val="11"/>
      <color rgb="FF008000"/>
      <name val="Calibri"/>
      <family val="2"/>
      <scheme val="minor"/>
    </font>
    <font>
      <vertAlign val="subscript"/>
      <sz val="11"/>
      <color rgb="FF3333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/>
    <xf numFmtId="2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0" fillId="0" borderId="0" xfId="0" quotePrefix="1" applyNumberFormat="1" applyAlignment="1">
      <alignment horizontal="center"/>
    </xf>
    <xf numFmtId="0" fontId="1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8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  <color rgb="FFCC00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11</xdr:row>
      <xdr:rowOff>165100</xdr:rowOff>
    </xdr:from>
    <xdr:to>
      <xdr:col>7</xdr:col>
      <xdr:colOff>400050</xdr:colOff>
      <xdr:row>25</xdr:row>
      <xdr:rowOff>31750</xdr:rowOff>
    </xdr:to>
    <xdr:sp macro="" textlink="">
      <xdr:nvSpPr>
        <xdr:cNvPr id="2" name="TextBox 1"/>
        <xdr:cNvSpPr txBox="1"/>
      </xdr:nvSpPr>
      <xdr:spPr>
        <a:xfrm>
          <a:off x="1238250" y="2266950"/>
          <a:ext cx="3429000" cy="2444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Nota: a incerteza é uma diferença de temperatura (tal como o erro) e não inclui</a:t>
          </a:r>
          <a:r>
            <a:rPr lang="pt-PT" sz="1100" baseline="0"/>
            <a:t> a origem das temperaturas (que é diferente na escala celcius e fahrenheit). Logo, </a:t>
          </a:r>
          <a:r>
            <a:rPr lang="el-GR" sz="1100" baseline="0">
              <a:latin typeface="Calibri" panose="020F0502020204030204" pitchFamily="34" charset="0"/>
              <a:cs typeface="Calibri" panose="020F0502020204030204" pitchFamily="34" charset="0"/>
            </a:rPr>
            <a:t>Δ</a:t>
          </a:r>
          <a:r>
            <a:rPr lang="en-US" sz="1100" baseline="0">
              <a:latin typeface="Calibri" panose="020F0502020204030204" pitchFamily="34" charset="0"/>
              <a:cs typeface="Calibri" panose="020F0502020204030204" pitchFamily="34" charset="0"/>
            </a:rPr>
            <a:t>T_°C = 5/9*</a:t>
          </a:r>
          <a:r>
            <a:rPr lang="el-GR" sz="1100" baseline="0">
              <a:latin typeface="Calibri" panose="020F0502020204030204" pitchFamily="34" charset="0"/>
              <a:cs typeface="Calibri" panose="020F0502020204030204" pitchFamily="34" charset="0"/>
            </a:rPr>
            <a:t>Δ</a:t>
          </a:r>
          <a:r>
            <a:rPr lang="en-US" sz="1100" baseline="0">
              <a:latin typeface="Calibri" panose="020F0502020204030204" pitchFamily="34" charset="0"/>
              <a:cs typeface="Calibri" panose="020F0502020204030204" pitchFamily="34" charset="0"/>
            </a:rPr>
            <a:t>_°F.</a:t>
          </a:r>
        </a:p>
        <a:p>
          <a:r>
            <a:rPr lang="en-US" sz="1100" baseline="0">
              <a:latin typeface="Calibri" panose="020F0502020204030204" pitchFamily="34" charset="0"/>
              <a:cs typeface="Calibri" panose="020F0502020204030204" pitchFamily="34" charset="0"/>
            </a:rPr>
            <a:t>O mesmo se passa com o erro e também com qualquer diferença de temperaturas.</a:t>
          </a:r>
        </a:p>
        <a:p>
          <a:r>
            <a:rPr lang="pt-PT" sz="1100"/>
            <a:t>Se isto vos intriga, imagenem</a:t>
          </a:r>
          <a:r>
            <a:rPr lang="pt-PT" sz="1100" baseline="0"/>
            <a:t> dois referenciais cartesianos, com origens diferentes. Um determinado ponto no espaço, quando mudamos de coordenadas, temos que ter em conta a posição da origem. Pelo contrário, uma incerteza na posição, que corresponde a uma diferença de posições, não depende da posição das origens.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3175</xdr:colOff>
      <xdr:row>1</xdr:row>
      <xdr:rowOff>19050</xdr:rowOff>
    </xdr:from>
    <xdr:ext cx="5813193" cy="16423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/>
            <xdr:cNvSpPr txBox="1"/>
          </xdr:nvSpPr>
          <xdr:spPr>
            <a:xfrm>
              <a:off x="612775" y="203200"/>
              <a:ext cx="5813193" cy="1642309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PT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PT" sz="18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PT" sz="18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𝑙</m:t>
                        </m:r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𝜂</m:t>
                        </m:r>
                      </m:num>
                      <m:den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á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8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groupChr>
                      <m:groupChrPr>
                        <m:chr m:val="⇒"/>
                        <m:vertJc m:val="bot"/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groupCh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á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𝜂</m:t>
                        </m:r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𝑙</m:t>
                        </m:r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p>
                      <m:sSup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8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groupChr>
                      <m:groupChrPr>
                        <m:chr m:val="⇒"/>
                        <m:vertJc m:val="bot"/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</m:e>
                    </m:groupCh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á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4×0.801</m:t>
                        </m:r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0.0472±0.0009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0.106±0.07</m:t>
                        </m:r>
                      </m:e>
                    </m:d>
                  </m:oMath>
                </m:oMathPara>
              </a14:m>
              <a:endParaRPr lang="en-US" sz="1800" b="0"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3" name="TextBox 2"/>
            <xdr:cNvSpPr txBox="1"/>
          </xdr:nvSpPr>
          <xdr:spPr>
            <a:xfrm>
              <a:off x="612775" y="203200"/>
              <a:ext cx="5813193" cy="1642309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PT" sz="1800" i="0">
                  <a:latin typeface="Cambria Math" panose="02040503050406030204" pitchFamily="18" charset="0"/>
                </a:rPr>
                <a:t>((</a:t>
              </a:r>
              <a:r>
                <a:rPr lang="en-US" sz="1800" b="0" i="0">
                  <a:latin typeface="Cambria Math" panose="02040503050406030204" pitchFamily="18" charset="0"/>
                </a:rPr>
                <a:t>𝑝</a:t>
              </a:r>
              <a:r>
                <a:rPr lang="pt-PT" sz="1800" b="0" i="0">
                  <a:latin typeface="Cambria Math" panose="02040503050406030204" pitchFamily="18" charset="0"/>
                </a:rPr>
                <a:t>_</a:t>
              </a:r>
              <a:r>
                <a:rPr lang="en-US" sz="1800" b="0" i="0">
                  <a:latin typeface="Cambria Math" panose="02040503050406030204" pitchFamily="18" charset="0"/>
                </a:rPr>
                <a:t>1−𝑝_2 )</a:t>
              </a:r>
              <a:r>
                <a:rPr lang="pt-PT" sz="1800" b="0" i="0">
                  <a:latin typeface="Cambria Math" panose="02040503050406030204" pitchFamily="18" charset="0"/>
                </a:rPr>
                <a:t>)/</a:t>
              </a:r>
              <a:r>
                <a:rPr lang="en-US" sz="1800" b="0" i="0">
                  <a:latin typeface="Cambria Math" panose="02040503050406030204" pitchFamily="18" charset="0"/>
                </a:rPr>
                <a:t>𝑙=4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𝜂/</a:t>
              </a:r>
              <a:r>
                <a:rPr lang="en-US" sz="1800" b="0" i="0">
                  <a:latin typeface="Cambria Math" panose="02040503050406030204" pitchFamily="18" charset="0"/>
                </a:rPr>
                <a:t>𝑅^2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∙𝑣_𝑚á𝑥</a:t>
              </a:r>
              <a:endParaRPr lang="en-US" sz="18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⇒┴  𝑣_𝑚á𝑥=1/4𝜂∙((𝑝_1−𝑝_2 ))/𝑙∙𝑅^2</a:t>
              </a:r>
              <a:endParaRPr lang="en-US" sz="18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⇒┴  𝑣_𝑚á𝑥=1/(4×0.801)×(0.0472±0.0009)×(0.106±0.07)</a:t>
              </a:r>
              <a:endParaRPr lang="en-US" sz="18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158750</xdr:colOff>
      <xdr:row>13</xdr:row>
      <xdr:rowOff>69850</xdr:rowOff>
    </xdr:from>
    <xdr:ext cx="3753913" cy="264560"/>
    <xdr:sp macro="" textlink="">
      <xdr:nvSpPr>
        <xdr:cNvPr id="2" name="TextBox 1"/>
        <xdr:cNvSpPr txBox="1"/>
      </xdr:nvSpPr>
      <xdr:spPr>
        <a:xfrm>
          <a:off x="3206750" y="2647950"/>
          <a:ext cx="3753913" cy="26456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/>
            <a:t>Nota: corrigida uma gralha</a:t>
          </a:r>
          <a:r>
            <a:rPr lang="pt-PT" sz="1100" baseline="0"/>
            <a:t> na equação da velocidade máxima.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1</xdr:row>
      <xdr:rowOff>25400</xdr:rowOff>
    </xdr:from>
    <xdr:ext cx="4892685" cy="818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1552575" y="209550"/>
              <a:ext cx="4892685" cy="818366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PT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𝑇</m:t>
                        </m:r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sub>
                            </m:s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𝑚𝑜𝑙𝑎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</m:den>
                        </m:f>
                      </m:e>
                    </m:rad>
                    <m:groupChr>
                      <m:groupChrPr>
                        <m:chr m:val="⇒"/>
                        <m:vertJc m:val="bot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8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groupChr>
                    <m:r>
                      <a:rPr lang="en-US" sz="18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𝜋</m:t>
                                </m:r>
                              </m:num>
                              <m:den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𝑚𝑜𝑙𝑎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pt-PT" sz="18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552575" y="209550"/>
              <a:ext cx="4892685" cy="818366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pt-PT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US" sz="1800" b="0" i="0">
                  <a:latin typeface="Cambria Math" panose="02040503050406030204" pitchFamily="18" charset="0"/>
                </a:rPr>
                <a:t>𝑇=√(𝑘/(𝑚_𝑠+𝑚_𝑚𝑜𝑙𝑎/3)) ⇒┴  𝑘=(2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𝜋/</a:t>
              </a:r>
              <a:r>
                <a:rPr lang="en-US" sz="1800" b="0" i="0">
                  <a:latin typeface="Cambria Math" panose="02040503050406030204" pitchFamily="18" charset="0"/>
                </a:rPr>
                <a:t>𝑇)^2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∙(𝑚_𝑠+𝑚_𝑚𝑜𝑙𝑎/3)</a:t>
              </a:r>
              <a:endParaRPr lang="pt-PT" sz="1800"/>
            </a:p>
          </xdr:txBody>
        </xdr:sp>
      </mc:Fallback>
    </mc:AlternateContent>
    <xdr:clientData/>
  </xdr:oneCellAnchor>
  <xdr:oneCellAnchor>
    <xdr:from>
      <xdr:col>3</xdr:col>
      <xdr:colOff>120650</xdr:colOff>
      <xdr:row>6</xdr:row>
      <xdr:rowOff>6350</xdr:rowOff>
    </xdr:from>
    <xdr:ext cx="4515852" cy="10847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1949450" y="1111250"/>
              <a:ext cx="4515852" cy="10847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𝑟𝑎𝑖𝑧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𝑚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sub>
                                </m:sSub>
                              </m:sub>
                              <m:sup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𝑢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</m:e>
                                      <m: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𝑚𝑜𝑙𝑎</m:t>
                                        </m:r>
                                      </m:sub>
                                    </m:sSub>
                                  </m:sub>
                                  <m:sup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sSup>
                                  <m:sSup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3</m:t>
                                    </m:r>
                                  </m:e>
                                  <m:sup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num>
                          <m:den>
                            <m:sSup>
                              <m:sSup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</m:e>
                                      <m: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𝑠</m:t>
                                        </m:r>
                                      </m:sub>
                                    </m:sSub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+</m:t>
                                    </m:r>
                                    <m:f>
                                      <m:f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sSub>
                                          <m:sSubPr>
                                            <m:ctrlP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𝑚</m:t>
                                            </m:r>
                                          </m:e>
                                          <m:sub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𝑚𝑜𝑙𝑎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3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d>
                  </m:oMath>
                </m:oMathPara>
              </a14:m>
              <a:endParaRPr lang="pt-PT" sz="18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1949450" y="1111250"/>
              <a:ext cx="4515852" cy="10847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𝑢_𝑘=𝑘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∙𝑟𝑎𝑖𝑧(2^2∙(𝑢_𝑇/𝑇)^2+(𝑢_(𝑚_𝑠)^2+(𝑢_(𝑚_𝑚𝑜𝑙𝑎)^2)/3^2 )/(𝑚_𝑠+𝑚_𝑚𝑜𝑙𝑎/3)^2 )</a:t>
              </a:r>
              <a:endParaRPr lang="pt-PT" sz="1800"/>
            </a:p>
          </xdr:txBody>
        </xdr:sp>
      </mc:Fallback>
    </mc:AlternateContent>
    <xdr:clientData/>
  </xdr:oneCellAnchor>
  <xdr:oneCellAnchor>
    <xdr:from>
      <xdr:col>1</xdr:col>
      <xdr:colOff>225425</xdr:colOff>
      <xdr:row>37</xdr:row>
      <xdr:rowOff>146050</xdr:rowOff>
    </xdr:from>
    <xdr:ext cx="5738109" cy="33523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835025" y="7404100"/>
              <a:ext cx="5738109" cy="3352393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Em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equil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í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brio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: 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𝑚𝑜𝑙𝑎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_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𝑑𝑒𝑛𝑡𝑟𝑜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𝑖𝑚𝑝𝑢𝑙𝑠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ã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6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á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𝑔𝑢𝑎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𝑚𝑜𝑙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𝑓𝑜𝑟𝑎</m:t>
                            </m:r>
                          </m:sub>
                        </m:sSub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sub>
                    </m:sSub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Subtraindo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as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equa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çõ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es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fora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e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dentro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:</m:t>
                    </m:r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á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𝑔𝑢𝑎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á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𝑔𝑢𝑎</m:t>
                            </m:r>
                          </m:sub>
                        </m:sSub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d>
                          <m:d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sSub>
                                          <m:sSubPr>
                                            <m:ctrlP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𝜌</m:t>
                                            </m:r>
                                          </m:e>
                                          <m:sub>
                                            <m: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á</m:t>
                                            </m:r>
                                            <m: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𝑔𝑢𝑎</m:t>
                                            </m:r>
                                          </m:sub>
                                        </m:sSub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𝜌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á</m:t>
                                        </m:r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𝑔𝑢𝑎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sSub>
                                          <m:sSubPr>
                                            <m:ctrlP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𝑚</m:t>
                                            </m:r>
                                          </m:e>
                                          <m:sub>
                                            <m: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𝑠</m:t>
                                            </m:r>
                                          </m:sub>
                                        </m:sSub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𝑠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𝑔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𝑔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𝑘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𝑘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𝑌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𝑌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rad>
                  </m:oMath>
                </m:oMathPara>
              </a14:m>
              <a:endParaRPr lang="en-US" sz="1600" b="0"/>
            </a:p>
            <a:p>
              <a:endParaRPr lang="pt-PT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835025" y="7404100"/>
              <a:ext cx="5738109" cy="3352393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"Em equilíbrio: " 〖𝐹_(𝑚𝑜𝑙𝑎_𝑑𝑒𝑛𝑡𝑟𝑜)+𝐹〗_𝑖𝑚𝑝𝑢𝑙𝑠ã𝑜=𝐹_𝑔  </a:t>
              </a:r>
              <a:endParaRPr lang="en-US" sz="1600" b="0" i="1">
                <a:latin typeface="Cambria Math" panose="02040503050406030204" pitchFamily="18" charset="0"/>
              </a:endParaRPr>
            </a:p>
            <a:p>
              <a:r>
                <a:rPr lang="en-US" sz="1600" b="0" i="0">
                  <a:latin typeface="Cambria Math" panose="02040503050406030204" pitchFamily="18" charset="0"/>
                </a:rPr>
                <a:t>𝑘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∙(𝑌_0−𝑌_2 )</a:t>
              </a:r>
              <a:r>
                <a:rPr lang="en-US" sz="1600" b="0" i="0">
                  <a:latin typeface="Cambria Math" panose="02040503050406030204" pitchFamily="18" charset="0"/>
                </a:rPr>
                <a:t>+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𝜌_</a:t>
              </a:r>
              <a:r>
                <a:rPr lang="en-US" sz="1600" b="0" i="0">
                  <a:latin typeface="Cambria Math" panose="02040503050406030204" pitchFamily="18" charset="0"/>
                </a:rPr>
                <a:t>á𝑔𝑢𝑎/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𝜌_</a:t>
              </a:r>
              <a:r>
                <a:rPr lang="en-US" sz="1600" b="0" i="0">
                  <a:latin typeface="Cambria Math" panose="02040503050406030204" pitchFamily="18" charset="0"/>
                </a:rPr>
                <a:t>𝑠 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∙𝑚_𝑠 𝑔=𝑚_𝑠 𝑔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𝐹_(𝑚𝑜𝑙𝑎_𝑓𝑜𝑟𝑎 )=𝐹_𝑔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𝑘∙(𝑌_0−𝑌_1 )=𝑚_𝑠 𝑔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"Subtraindo as equações fora e dentro:</a:t>
              </a:r>
              <a:r>
                <a:rPr lang="pt-PT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𝑘∙(𝑌_2−𝑌_1 )=𝜌_á𝑔𝑢𝑎/𝜌_𝑠 ∙𝑚_𝑠 𝑔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𝜌_𝑠=(𝜌_á𝑔𝑢𝑎 𝑚_𝑠 𝑔)/(𝑘∙(𝑌_2−𝑌_1 ) )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𝑢_(𝜌_𝑠 )=𝜌_𝑠∙√((𝑢_(𝜌_á𝑔𝑢𝑎 )/𝜌_á𝑔𝑢𝑎 )^2+(𝑢_(𝑚_𝑠 )/𝑚_𝑠 )^2+(𝑢_𝑔/𝑔)^2+(𝑢_𝑘/𝑘)^2+(𝑢_(𝑌_1)^2+𝑢_(𝑌_2)^2)/(𝑌_2−𝑌_1 )^2 )</a:t>
              </a:r>
              <a:endParaRPr lang="en-US" sz="1600" b="0"/>
            </a:p>
            <a:p>
              <a:endParaRPr lang="pt-PT" sz="1100"/>
            </a:p>
          </xdr:txBody>
        </xdr:sp>
      </mc:Fallback>
    </mc:AlternateContent>
    <xdr:clientData/>
  </xdr:oneCellAnchor>
  <xdr:twoCellAnchor>
    <xdr:from>
      <xdr:col>6</xdr:col>
      <xdr:colOff>12700</xdr:colOff>
      <xdr:row>33</xdr:row>
      <xdr:rowOff>114300</xdr:rowOff>
    </xdr:from>
    <xdr:to>
      <xdr:col>7</xdr:col>
      <xdr:colOff>152400</xdr:colOff>
      <xdr:row>34</xdr:row>
      <xdr:rowOff>139700</xdr:rowOff>
    </xdr:to>
    <xdr:cxnSp macro="">
      <xdr:nvCxnSpPr>
        <xdr:cNvPr id="6" name="Straight Arrow Connector 5"/>
        <xdr:cNvCxnSpPr/>
      </xdr:nvCxnSpPr>
      <xdr:spPr>
        <a:xfrm flipH="1">
          <a:off x="3670300" y="6483350"/>
          <a:ext cx="749300" cy="2476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241300</xdr:colOff>
      <xdr:row>32</xdr:row>
      <xdr:rowOff>146050</xdr:rowOff>
    </xdr:from>
    <xdr:ext cx="1525418" cy="264560"/>
    <xdr:sp macro="" textlink="">
      <xdr:nvSpPr>
        <xdr:cNvPr id="7" name="TextBox 6"/>
        <xdr:cNvSpPr txBox="1"/>
      </xdr:nvSpPr>
      <xdr:spPr>
        <a:xfrm>
          <a:off x="4508500" y="6330950"/>
          <a:ext cx="1525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rgbClr val="FF0000"/>
              </a:solidFill>
            </a:rPr>
            <a:t>Demasiados algarismos</a:t>
          </a:r>
        </a:p>
      </xdr:txBody>
    </xdr:sp>
    <xdr:clientData/>
  </xdr:oneCellAnchor>
  <xdr:twoCellAnchor>
    <xdr:from>
      <xdr:col>6</xdr:col>
      <xdr:colOff>31750</xdr:colOff>
      <xdr:row>34</xdr:row>
      <xdr:rowOff>158750</xdr:rowOff>
    </xdr:from>
    <xdr:to>
      <xdr:col>7</xdr:col>
      <xdr:colOff>203200</xdr:colOff>
      <xdr:row>35</xdr:row>
      <xdr:rowOff>146050</xdr:rowOff>
    </xdr:to>
    <xdr:cxnSp macro="">
      <xdr:nvCxnSpPr>
        <xdr:cNvPr id="8" name="Straight Arrow Connector 7"/>
        <xdr:cNvCxnSpPr/>
      </xdr:nvCxnSpPr>
      <xdr:spPr>
        <a:xfrm flipH="1">
          <a:off x="3689350" y="6750050"/>
          <a:ext cx="781050" cy="2095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254000</xdr:colOff>
      <xdr:row>34</xdr:row>
      <xdr:rowOff>0</xdr:rowOff>
    </xdr:from>
    <xdr:ext cx="2564292" cy="264560"/>
    <xdr:sp macro="" textlink="">
      <xdr:nvSpPr>
        <xdr:cNvPr id="10" name="TextBox 9"/>
        <xdr:cNvSpPr txBox="1"/>
      </xdr:nvSpPr>
      <xdr:spPr>
        <a:xfrm>
          <a:off x="4521200" y="6591300"/>
          <a:ext cx="25642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rgbClr val="FF0000"/>
              </a:solidFill>
            </a:rPr>
            <a:t>Expoentes das</a:t>
          </a:r>
          <a:r>
            <a:rPr lang="pt-PT" sz="1100" baseline="0">
              <a:solidFill>
                <a:srgbClr val="FF0000"/>
              </a:solidFill>
            </a:rPr>
            <a:t> potências de 10 diferentes</a:t>
          </a:r>
          <a:endParaRPr lang="pt-PT" sz="11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577850</xdr:colOff>
      <xdr:row>35</xdr:row>
      <xdr:rowOff>177800</xdr:rowOff>
    </xdr:from>
    <xdr:to>
      <xdr:col>8</xdr:col>
      <xdr:colOff>603250</xdr:colOff>
      <xdr:row>36</xdr:row>
      <xdr:rowOff>133350</xdr:rowOff>
    </xdr:to>
    <xdr:cxnSp macro="">
      <xdr:nvCxnSpPr>
        <xdr:cNvPr id="11" name="Straight Arrow Connector 10"/>
        <xdr:cNvCxnSpPr/>
      </xdr:nvCxnSpPr>
      <xdr:spPr>
        <a:xfrm flipH="1">
          <a:off x="4845050" y="6991350"/>
          <a:ext cx="635000" cy="177800"/>
        </a:xfrm>
        <a:prstGeom prst="straightConnector1">
          <a:avLst/>
        </a:prstGeom>
        <a:ln w="38100">
          <a:solidFill>
            <a:srgbClr val="008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6350</xdr:colOff>
      <xdr:row>35</xdr:row>
      <xdr:rowOff>38100</xdr:rowOff>
    </xdr:from>
    <xdr:ext cx="2349489" cy="264560"/>
    <xdr:sp macro="" textlink="">
      <xdr:nvSpPr>
        <xdr:cNvPr id="13" name="TextBox 12"/>
        <xdr:cNvSpPr txBox="1"/>
      </xdr:nvSpPr>
      <xdr:spPr>
        <a:xfrm>
          <a:off x="5492750" y="6851650"/>
          <a:ext cx="23494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rgbClr val="008000"/>
              </a:solidFill>
            </a:rPr>
            <a:t>Forma</a:t>
          </a:r>
          <a:r>
            <a:rPr lang="pt-PT" sz="1100" baseline="0">
              <a:solidFill>
                <a:srgbClr val="008000"/>
              </a:solidFill>
            </a:rPr>
            <a:t> correta de exprimir a incerteza</a:t>
          </a:r>
          <a:endParaRPr lang="pt-PT" sz="1100">
            <a:solidFill>
              <a:srgbClr val="008000"/>
            </a:solidFill>
          </a:endParaRPr>
        </a:p>
      </xdr:txBody>
    </xdr:sp>
    <xdr:clientData/>
  </xdr:oneCellAnchor>
  <xdr:twoCellAnchor>
    <xdr:from>
      <xdr:col>1</xdr:col>
      <xdr:colOff>6350</xdr:colOff>
      <xdr:row>25</xdr:row>
      <xdr:rowOff>158750</xdr:rowOff>
    </xdr:from>
    <xdr:to>
      <xdr:col>2</xdr:col>
      <xdr:colOff>0</xdr:colOff>
      <xdr:row>28</xdr:row>
      <xdr:rowOff>19050</xdr:rowOff>
    </xdr:to>
    <xdr:sp macro="" textlink="">
      <xdr:nvSpPr>
        <xdr:cNvPr id="5" name="Rounded Rectangle 4"/>
        <xdr:cNvSpPr/>
      </xdr:nvSpPr>
      <xdr:spPr>
        <a:xfrm>
          <a:off x="615950" y="4914900"/>
          <a:ext cx="603250" cy="438150"/>
        </a:xfrm>
        <a:prstGeom prst="round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</xdr:col>
      <xdr:colOff>127000</xdr:colOff>
      <xdr:row>23</xdr:row>
      <xdr:rowOff>120650</xdr:rowOff>
    </xdr:from>
    <xdr:to>
      <xdr:col>7</xdr:col>
      <xdr:colOff>57150</xdr:colOff>
      <xdr:row>25</xdr:row>
      <xdr:rowOff>171450</xdr:rowOff>
    </xdr:to>
    <xdr:cxnSp macro="">
      <xdr:nvCxnSpPr>
        <xdr:cNvPr id="12" name="Straight Arrow Connector 11"/>
        <xdr:cNvCxnSpPr/>
      </xdr:nvCxnSpPr>
      <xdr:spPr>
        <a:xfrm flipV="1">
          <a:off x="1346200" y="4457700"/>
          <a:ext cx="2978150" cy="46990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50800</xdr:colOff>
      <xdr:row>22</xdr:row>
      <xdr:rowOff>63500</xdr:rowOff>
    </xdr:from>
    <xdr:ext cx="4618700" cy="436786"/>
    <xdr:sp macro="" textlink="">
      <xdr:nvSpPr>
        <xdr:cNvPr id="15" name="TextBox 14"/>
        <xdr:cNvSpPr txBox="1"/>
      </xdr:nvSpPr>
      <xdr:spPr>
        <a:xfrm>
          <a:off x="4318000" y="4216400"/>
          <a:ext cx="46187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chemeClr val="accent2">
                  <a:lumMod val="75000"/>
                </a:schemeClr>
              </a:solidFill>
            </a:rPr>
            <a:t>k depende de m</a:t>
          </a:r>
          <a:r>
            <a:rPr lang="pt-PT" sz="1100" baseline="-25000">
              <a:solidFill>
                <a:schemeClr val="accent2">
                  <a:lumMod val="75000"/>
                </a:schemeClr>
              </a:solidFill>
            </a:rPr>
            <a:t>s</a:t>
          </a:r>
          <a:r>
            <a:rPr lang="pt-PT" sz="1100">
              <a:solidFill>
                <a:schemeClr val="accent2">
                  <a:lumMod val="75000"/>
                </a:schemeClr>
              </a:solidFill>
            </a:rPr>
            <a:t>, pelo que as duas grandezas estão correlacionadas.</a:t>
          </a:r>
        </a:p>
        <a:p>
          <a:r>
            <a:rPr lang="pt-PT" sz="1100">
              <a:solidFill>
                <a:schemeClr val="accent2">
                  <a:lumMod val="75000"/>
                </a:schemeClr>
              </a:solidFill>
            </a:rPr>
            <a:t>Isto significa que os cálculos</a:t>
          </a:r>
          <a:r>
            <a:rPr lang="pt-PT" sz="1100" baseline="0">
              <a:solidFill>
                <a:schemeClr val="accent2">
                  <a:lumMod val="75000"/>
                </a:schemeClr>
              </a:solidFill>
            </a:rPr>
            <a:t> para a propagação das incertezas estão errados...</a:t>
          </a:r>
          <a:endParaRPr lang="pt-PT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twoCellAnchor>
    <xdr:from>
      <xdr:col>1</xdr:col>
      <xdr:colOff>584200</xdr:colOff>
      <xdr:row>33</xdr:row>
      <xdr:rowOff>12700</xdr:rowOff>
    </xdr:from>
    <xdr:to>
      <xdr:col>3</xdr:col>
      <xdr:colOff>120650</xdr:colOff>
      <xdr:row>34</xdr:row>
      <xdr:rowOff>101600</xdr:rowOff>
    </xdr:to>
    <xdr:grpSp>
      <xdr:nvGrpSpPr>
        <xdr:cNvPr id="19" name="Group 18"/>
        <xdr:cNvGrpSpPr/>
      </xdr:nvGrpSpPr>
      <xdr:grpSpPr>
        <a:xfrm>
          <a:off x="1193800" y="6381750"/>
          <a:ext cx="755650" cy="311150"/>
          <a:chOff x="1193800" y="6381750"/>
          <a:chExt cx="755650" cy="311150"/>
        </a:xfrm>
      </xdr:grpSpPr>
      <xdr:cxnSp macro="">
        <xdr:nvCxnSpPr>
          <xdr:cNvPr id="17" name="Straight Connector 16"/>
          <xdr:cNvCxnSpPr/>
        </xdr:nvCxnSpPr>
        <xdr:spPr>
          <a:xfrm>
            <a:off x="1193800" y="6381750"/>
            <a:ext cx="755650" cy="311150"/>
          </a:xfrm>
          <a:prstGeom prst="line">
            <a:avLst/>
          </a:prstGeom>
          <a:ln w="127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8" name="Straight Connector 17"/>
          <xdr:cNvCxnSpPr/>
        </xdr:nvCxnSpPr>
        <xdr:spPr>
          <a:xfrm flipV="1">
            <a:off x="1193800" y="6381750"/>
            <a:ext cx="755650" cy="311150"/>
          </a:xfrm>
          <a:prstGeom prst="line">
            <a:avLst/>
          </a:prstGeom>
          <a:ln w="127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546100</xdr:colOff>
      <xdr:row>35</xdr:row>
      <xdr:rowOff>215900</xdr:rowOff>
    </xdr:from>
    <xdr:to>
      <xdr:col>5</xdr:col>
      <xdr:colOff>82550</xdr:colOff>
      <xdr:row>37</xdr:row>
      <xdr:rowOff>82550</xdr:rowOff>
    </xdr:to>
    <xdr:grpSp>
      <xdr:nvGrpSpPr>
        <xdr:cNvPr id="20" name="Group 19"/>
        <xdr:cNvGrpSpPr/>
      </xdr:nvGrpSpPr>
      <xdr:grpSpPr>
        <a:xfrm>
          <a:off x="2374900" y="7029450"/>
          <a:ext cx="755650" cy="311150"/>
          <a:chOff x="1193800" y="6381750"/>
          <a:chExt cx="755650" cy="311150"/>
        </a:xfrm>
      </xdr:grpSpPr>
      <xdr:cxnSp macro="">
        <xdr:nvCxnSpPr>
          <xdr:cNvPr id="21" name="Straight Connector 20"/>
          <xdr:cNvCxnSpPr/>
        </xdr:nvCxnSpPr>
        <xdr:spPr>
          <a:xfrm>
            <a:off x="1193800" y="6381750"/>
            <a:ext cx="755650" cy="311150"/>
          </a:xfrm>
          <a:prstGeom prst="line">
            <a:avLst/>
          </a:prstGeom>
          <a:ln w="127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2" name="Straight Connector 21"/>
          <xdr:cNvCxnSpPr/>
        </xdr:nvCxnSpPr>
        <xdr:spPr>
          <a:xfrm flipV="1">
            <a:off x="1193800" y="6381750"/>
            <a:ext cx="755650" cy="311150"/>
          </a:xfrm>
          <a:prstGeom prst="line">
            <a:avLst/>
          </a:prstGeom>
          <a:ln w="127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1</xdr:row>
      <xdr:rowOff>25400</xdr:rowOff>
    </xdr:from>
    <xdr:ext cx="4892685" cy="818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1552575" y="209550"/>
              <a:ext cx="4892685" cy="818366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PT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𝑇</m:t>
                        </m:r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sub>
                            </m:s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𝑚𝑜𝑙𝑎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</m:den>
                        </m:f>
                      </m:e>
                    </m:rad>
                    <m:groupChr>
                      <m:groupChrPr>
                        <m:chr m:val="⇒"/>
                        <m:vertJc m:val="bot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US" sz="18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groupChr>
                    <m:r>
                      <a:rPr lang="en-US" sz="18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𝜋</m:t>
                                </m:r>
                              </m:num>
                              <m:den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𝑚𝑜𝑙𝑎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pt-PT" sz="18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552575" y="209550"/>
              <a:ext cx="4892685" cy="818366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pt-PT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US" sz="1800" b="0" i="0">
                  <a:latin typeface="Cambria Math" panose="02040503050406030204" pitchFamily="18" charset="0"/>
                </a:rPr>
                <a:t>𝑇=√(𝑘/(𝑚_𝑠+𝑚_𝑚𝑜𝑙𝑎/3)) ⇒┴  𝑘=(2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𝜋/</a:t>
              </a:r>
              <a:r>
                <a:rPr lang="en-US" sz="1800" b="0" i="0">
                  <a:latin typeface="Cambria Math" panose="02040503050406030204" pitchFamily="18" charset="0"/>
                </a:rPr>
                <a:t>𝑇)^2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∙(𝑚_𝑠+𝑚_𝑚𝑜𝑙𝑎/3)</a:t>
              </a:r>
              <a:endParaRPr lang="pt-PT" sz="1800"/>
            </a:p>
          </xdr:txBody>
        </xdr:sp>
      </mc:Fallback>
    </mc:AlternateContent>
    <xdr:clientData/>
  </xdr:oneCellAnchor>
  <xdr:oneCellAnchor>
    <xdr:from>
      <xdr:col>3</xdr:col>
      <xdr:colOff>120650</xdr:colOff>
      <xdr:row>6</xdr:row>
      <xdr:rowOff>6350</xdr:rowOff>
    </xdr:from>
    <xdr:ext cx="4515852" cy="10847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1949450" y="1111250"/>
              <a:ext cx="4515852" cy="10847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𝑟𝑎𝑖𝑧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𝑚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sub>
                                </m:sSub>
                              </m:sub>
                              <m:sup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𝑢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</m:e>
                                      <m: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𝑚𝑜𝑙𝑎</m:t>
                                        </m:r>
                                      </m:sub>
                                    </m:sSub>
                                  </m:sub>
                                  <m:sup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sSup>
                                  <m:sSup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3</m:t>
                                    </m:r>
                                  </m:e>
                                  <m:sup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num>
                          <m:den>
                            <m:sSup>
                              <m:sSup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</m:e>
                                      <m: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𝑠</m:t>
                                        </m:r>
                                      </m:sub>
                                    </m:sSub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+</m:t>
                                    </m:r>
                                    <m:f>
                                      <m:f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sSub>
                                          <m:sSubPr>
                                            <m:ctrlP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𝑚</m:t>
                                            </m:r>
                                          </m:e>
                                          <m:sub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𝑚𝑜𝑙𝑎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3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d>
                  </m:oMath>
                </m:oMathPara>
              </a14:m>
              <a:endParaRPr lang="pt-PT" sz="18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1949450" y="1111250"/>
              <a:ext cx="4515852" cy="1084721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𝑢_𝑘=𝑘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∙𝑟𝑎𝑖𝑧(2^2∙(𝑢_𝑇/𝑇)^2+(𝑢_(𝑚_𝑠)^2+(𝑢_(𝑚_𝑚𝑜𝑙𝑎)^2)/3^2 )/(𝑚_𝑠+𝑚_𝑚𝑜𝑙𝑎/3)^2 )</a:t>
              </a:r>
              <a:endParaRPr lang="pt-PT" sz="1800"/>
            </a:p>
          </xdr:txBody>
        </xdr:sp>
      </mc:Fallback>
    </mc:AlternateContent>
    <xdr:clientData/>
  </xdr:oneCellAnchor>
  <xdr:oneCellAnchor>
    <xdr:from>
      <xdr:col>1</xdr:col>
      <xdr:colOff>225425</xdr:colOff>
      <xdr:row>38</xdr:row>
      <xdr:rowOff>146050</xdr:rowOff>
    </xdr:from>
    <xdr:ext cx="5738109" cy="33523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835025" y="7404100"/>
              <a:ext cx="5738109" cy="3352393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Em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equil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í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brio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</a:rPr>
                      <m:t>: 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𝑚𝑜𝑙𝑎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_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𝑑𝑒𝑛𝑡𝑟𝑜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𝑖𝑚𝑝𝑢𝑙𝑠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ã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6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á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𝑔𝑢𝑎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𝑚𝑜𝑙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𝑓𝑜𝑟𝑎</m:t>
                            </m:r>
                          </m:sub>
                        </m:sSub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sub>
                    </m:sSub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Subtraindo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as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equa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çõ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es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fora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e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dentro</m:t>
                    </m:r>
                    <m:r>
                      <m:rPr>
                        <m:nor/>
                      </m:rPr>
                      <a:rPr lang="en-US" sz="16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:</m:t>
                    </m:r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á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𝑔𝑢𝑎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á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𝑔𝑢𝑎</m:t>
                            </m:r>
                          </m:sub>
                        </m:sSub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d>
                          <m:d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ad>
                      <m:radPr>
                        <m:degHide m:val="on"/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sSub>
                                          <m:sSubPr>
                                            <m:ctrlP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𝜌</m:t>
                                            </m:r>
                                          </m:e>
                                          <m:sub>
                                            <m: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á</m:t>
                                            </m:r>
                                            <m: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𝑔𝑢𝑎</m:t>
                                            </m:r>
                                          </m:sub>
                                        </m:sSub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𝜌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á</m:t>
                                        </m:r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𝑔𝑢𝑎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sSub>
                                          <m:sSubPr>
                                            <m:ctrlP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𝑚</m:t>
                                            </m:r>
                                          </m:e>
                                          <m:sub>
                                            <m:r>
                                              <a:rPr lang="en-US" sz="16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𝑠</m:t>
                                            </m:r>
                                          </m:sub>
                                        </m:sSub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𝑠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𝑔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𝑔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𝑢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𝑘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𝑘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𝑌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𝑌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</m:sub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rad>
                  </m:oMath>
                </m:oMathPara>
              </a14:m>
              <a:endParaRPr lang="en-US" sz="1600" b="0"/>
            </a:p>
            <a:p>
              <a:endParaRPr lang="pt-PT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835025" y="7404100"/>
              <a:ext cx="5738109" cy="3352393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"Em equilíbrio: " 〖𝐹_(𝑚𝑜𝑙𝑎_𝑑𝑒𝑛𝑡𝑟𝑜)+𝐹〗_𝑖𝑚𝑝𝑢𝑙𝑠ã𝑜=𝐹_𝑔  </a:t>
              </a:r>
              <a:endParaRPr lang="en-US" sz="1600" b="0" i="1">
                <a:latin typeface="Cambria Math" panose="02040503050406030204" pitchFamily="18" charset="0"/>
              </a:endParaRPr>
            </a:p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𝑘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∙(𝑌_0−𝑌_2 )</a:t>
              </a:r>
              <a:r>
                <a:rPr lang="en-US" sz="1600" b="0" i="0">
                  <a:latin typeface="Cambria Math" panose="02040503050406030204" pitchFamily="18" charset="0"/>
                </a:rPr>
                <a:t>+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𝜌_</a:t>
              </a:r>
              <a:r>
                <a:rPr lang="en-US" sz="1600" b="0" i="0">
                  <a:latin typeface="Cambria Math" panose="02040503050406030204" pitchFamily="18" charset="0"/>
                </a:rPr>
                <a:t>á𝑔𝑢𝑎/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𝜌_</a:t>
              </a:r>
              <a:r>
                <a:rPr lang="en-US" sz="1600" b="0" i="0">
                  <a:latin typeface="Cambria Math" panose="02040503050406030204" pitchFamily="18" charset="0"/>
                </a:rPr>
                <a:t>𝑠 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∙𝑚_𝑠 𝑔=𝑚_𝑠 𝑔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𝐹_(𝑚𝑜𝑙𝑎_𝑓𝑜𝑟𝑎 )=𝐹_𝑔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𝑘∙(𝑌_0−𝑌_1 )=𝑚_𝑠 𝑔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"Subtraindo as equações fora e dentro:</a:t>
              </a:r>
              <a:r>
                <a:rPr lang="pt-PT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𝑘∙(𝑌_2−𝑌_1 )=𝜌_á𝑔𝑢𝑎/𝜌_𝑠 ∙𝑚_𝑠 𝑔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𝜌_𝑠=(𝜌_á𝑔𝑢𝑎 𝑚_𝑠 𝑔)/(𝑘∙(𝑌_2−𝑌_1 ) )</a:t>
              </a:r>
              <a:endParaRPr lang="en-US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𝑢_(𝜌_𝑠 )=𝜌_𝑠∙√((𝑢_(𝜌_á𝑔𝑢𝑎 )/𝜌_á𝑔𝑢𝑎 )^2+(𝑢_(𝑚_𝑠 )/𝑚_𝑠 )^2+(𝑢_𝑔/𝑔)^2+(𝑢_𝑘/𝑘)^2+(𝑢_(𝑌_1)^2+𝑢_(𝑌_2)^2)/(𝑌_2−𝑌_1 )^2 )</a:t>
              </a:r>
              <a:endParaRPr lang="en-US" sz="1600" b="0"/>
            </a:p>
            <a:p>
              <a:endParaRPr lang="pt-PT" sz="1100"/>
            </a:p>
          </xdr:txBody>
        </xdr:sp>
      </mc:Fallback>
    </mc:AlternateContent>
    <xdr:clientData/>
  </xdr:oneCellAnchor>
  <xdr:twoCellAnchor>
    <xdr:from>
      <xdr:col>6</xdr:col>
      <xdr:colOff>12700</xdr:colOff>
      <xdr:row>34</xdr:row>
      <xdr:rowOff>114300</xdr:rowOff>
    </xdr:from>
    <xdr:to>
      <xdr:col>7</xdr:col>
      <xdr:colOff>152400</xdr:colOff>
      <xdr:row>35</xdr:row>
      <xdr:rowOff>139700</xdr:rowOff>
    </xdr:to>
    <xdr:cxnSp macro="">
      <xdr:nvCxnSpPr>
        <xdr:cNvPr id="5" name="Straight Arrow Connector 4"/>
        <xdr:cNvCxnSpPr/>
      </xdr:nvCxnSpPr>
      <xdr:spPr>
        <a:xfrm flipH="1">
          <a:off x="3670300" y="6483350"/>
          <a:ext cx="749300" cy="2476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241300</xdr:colOff>
      <xdr:row>33</xdr:row>
      <xdr:rowOff>146050</xdr:rowOff>
    </xdr:from>
    <xdr:ext cx="1525418" cy="264560"/>
    <xdr:sp macro="" textlink="">
      <xdr:nvSpPr>
        <xdr:cNvPr id="6" name="TextBox 5"/>
        <xdr:cNvSpPr txBox="1"/>
      </xdr:nvSpPr>
      <xdr:spPr>
        <a:xfrm>
          <a:off x="4508500" y="6330950"/>
          <a:ext cx="152541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rgbClr val="FF0000"/>
              </a:solidFill>
            </a:rPr>
            <a:t>Demasiados algarismos</a:t>
          </a:r>
        </a:p>
      </xdr:txBody>
    </xdr:sp>
    <xdr:clientData/>
  </xdr:oneCellAnchor>
  <xdr:twoCellAnchor>
    <xdr:from>
      <xdr:col>6</xdr:col>
      <xdr:colOff>31750</xdr:colOff>
      <xdr:row>35</xdr:row>
      <xdr:rowOff>158750</xdr:rowOff>
    </xdr:from>
    <xdr:to>
      <xdr:col>7</xdr:col>
      <xdr:colOff>203200</xdr:colOff>
      <xdr:row>36</xdr:row>
      <xdr:rowOff>146050</xdr:rowOff>
    </xdr:to>
    <xdr:cxnSp macro="">
      <xdr:nvCxnSpPr>
        <xdr:cNvPr id="7" name="Straight Arrow Connector 6"/>
        <xdr:cNvCxnSpPr/>
      </xdr:nvCxnSpPr>
      <xdr:spPr>
        <a:xfrm flipH="1">
          <a:off x="3689350" y="6750050"/>
          <a:ext cx="781050" cy="2095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254000</xdr:colOff>
      <xdr:row>35</xdr:row>
      <xdr:rowOff>0</xdr:rowOff>
    </xdr:from>
    <xdr:ext cx="2564292" cy="264560"/>
    <xdr:sp macro="" textlink="">
      <xdr:nvSpPr>
        <xdr:cNvPr id="8" name="TextBox 7"/>
        <xdr:cNvSpPr txBox="1"/>
      </xdr:nvSpPr>
      <xdr:spPr>
        <a:xfrm>
          <a:off x="4521200" y="6591300"/>
          <a:ext cx="2564292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rgbClr val="FF0000"/>
              </a:solidFill>
            </a:rPr>
            <a:t>Expoentes das</a:t>
          </a:r>
          <a:r>
            <a:rPr lang="pt-PT" sz="1100" baseline="0">
              <a:solidFill>
                <a:srgbClr val="FF0000"/>
              </a:solidFill>
            </a:rPr>
            <a:t> potências de 10 diferentes</a:t>
          </a:r>
          <a:endParaRPr lang="pt-PT" sz="11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577850</xdr:colOff>
      <xdr:row>36</xdr:row>
      <xdr:rowOff>177800</xdr:rowOff>
    </xdr:from>
    <xdr:to>
      <xdr:col>8</xdr:col>
      <xdr:colOff>603250</xdr:colOff>
      <xdr:row>37</xdr:row>
      <xdr:rowOff>133350</xdr:rowOff>
    </xdr:to>
    <xdr:cxnSp macro="">
      <xdr:nvCxnSpPr>
        <xdr:cNvPr id="9" name="Straight Arrow Connector 8"/>
        <xdr:cNvCxnSpPr/>
      </xdr:nvCxnSpPr>
      <xdr:spPr>
        <a:xfrm flipH="1">
          <a:off x="4845050" y="6991350"/>
          <a:ext cx="635000" cy="177800"/>
        </a:xfrm>
        <a:prstGeom prst="straightConnector1">
          <a:avLst/>
        </a:prstGeom>
        <a:ln w="38100">
          <a:solidFill>
            <a:srgbClr val="008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6350</xdr:colOff>
      <xdr:row>36</xdr:row>
      <xdr:rowOff>38100</xdr:rowOff>
    </xdr:from>
    <xdr:ext cx="2349489" cy="264560"/>
    <xdr:sp macro="" textlink="">
      <xdr:nvSpPr>
        <xdr:cNvPr id="10" name="TextBox 9"/>
        <xdr:cNvSpPr txBox="1"/>
      </xdr:nvSpPr>
      <xdr:spPr>
        <a:xfrm>
          <a:off x="5492750" y="6851650"/>
          <a:ext cx="2349489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rgbClr val="008000"/>
              </a:solidFill>
            </a:rPr>
            <a:t>Forma</a:t>
          </a:r>
          <a:r>
            <a:rPr lang="pt-PT" sz="1100" baseline="0">
              <a:solidFill>
                <a:srgbClr val="008000"/>
              </a:solidFill>
            </a:rPr>
            <a:t> correta de exprimir a incerteza</a:t>
          </a:r>
          <a:endParaRPr lang="pt-PT" sz="1100">
            <a:solidFill>
              <a:srgbClr val="008000"/>
            </a:solidFill>
          </a:endParaRPr>
        </a:p>
      </xdr:txBody>
    </xdr:sp>
    <xdr:clientData/>
  </xdr:oneCellAnchor>
  <xdr:twoCellAnchor>
    <xdr:from>
      <xdr:col>4</xdr:col>
      <xdr:colOff>596900</xdr:colOff>
      <xdr:row>22</xdr:row>
      <xdr:rowOff>146050</xdr:rowOff>
    </xdr:from>
    <xdr:to>
      <xdr:col>6</xdr:col>
      <xdr:colOff>12700</xdr:colOff>
      <xdr:row>33</xdr:row>
      <xdr:rowOff>57150</xdr:rowOff>
    </xdr:to>
    <xdr:sp macro="" textlink="">
      <xdr:nvSpPr>
        <xdr:cNvPr id="11" name="Rounded Rectangle 10"/>
        <xdr:cNvSpPr/>
      </xdr:nvSpPr>
      <xdr:spPr>
        <a:xfrm>
          <a:off x="3035300" y="4298950"/>
          <a:ext cx="635000" cy="2152650"/>
        </a:xfrm>
        <a:prstGeom prst="round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69850</xdr:colOff>
      <xdr:row>21</xdr:row>
      <xdr:rowOff>107950</xdr:rowOff>
    </xdr:from>
    <xdr:to>
      <xdr:col>8</xdr:col>
      <xdr:colOff>330200</xdr:colOff>
      <xdr:row>23</xdr:row>
      <xdr:rowOff>31750</xdr:rowOff>
    </xdr:to>
    <xdr:cxnSp macro="">
      <xdr:nvCxnSpPr>
        <xdr:cNvPr id="13" name="Straight Arrow Connector 12"/>
        <xdr:cNvCxnSpPr/>
      </xdr:nvCxnSpPr>
      <xdr:spPr>
        <a:xfrm flipV="1">
          <a:off x="3727450" y="4076700"/>
          <a:ext cx="1479550" cy="2921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323850</xdr:colOff>
      <xdr:row>20</xdr:row>
      <xdr:rowOff>63500</xdr:rowOff>
    </xdr:from>
    <xdr:ext cx="3721788" cy="609013"/>
    <xdr:sp macro="" textlink="">
      <xdr:nvSpPr>
        <xdr:cNvPr id="14" name="TextBox 13"/>
        <xdr:cNvSpPr txBox="1"/>
      </xdr:nvSpPr>
      <xdr:spPr>
        <a:xfrm>
          <a:off x="5200650" y="3822700"/>
          <a:ext cx="3721788" cy="609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rgbClr val="00B0F0"/>
              </a:solidFill>
            </a:rPr>
            <a:t>Esta coluna podia podia</a:t>
          </a:r>
          <a:r>
            <a:rPr lang="pt-PT" sz="1100" baseline="0">
              <a:solidFill>
                <a:srgbClr val="00B0F0"/>
              </a:solidFill>
            </a:rPr>
            <a:t> ser integrada na coluna do </a:t>
          </a:r>
          <a:r>
            <a:rPr lang="el-GR" sz="1100" baseline="0">
              <a:solidFill>
                <a:srgbClr val="00B0F0"/>
              </a:solidFill>
              <a:latin typeface="Calibri" panose="020F0502020204030204" pitchFamily="34" charset="0"/>
              <a:cs typeface="Calibri" panose="020F0502020204030204" pitchFamily="34" charset="0"/>
            </a:rPr>
            <a:t>ρ</a:t>
          </a:r>
          <a:r>
            <a:rPr lang="en-US" sz="1100" baseline="-25000">
              <a:solidFill>
                <a:srgbClr val="00B0F0"/>
              </a:solidFill>
              <a:latin typeface="Calibri" panose="020F0502020204030204" pitchFamily="34" charset="0"/>
              <a:cs typeface="Calibri" panose="020F0502020204030204" pitchFamily="34" charset="0"/>
            </a:rPr>
            <a:t>s</a:t>
          </a:r>
          <a:r>
            <a:rPr lang="en-US" sz="1100" baseline="0">
              <a:solidFill>
                <a:srgbClr val="00B0F0"/>
              </a:solidFill>
              <a:latin typeface="Calibri" panose="020F0502020204030204" pitchFamily="34" charset="0"/>
              <a:cs typeface="Calibri" panose="020F0502020204030204" pitchFamily="34" charset="0"/>
            </a:rPr>
            <a:t>.</a:t>
          </a:r>
        </a:p>
        <a:p>
          <a:r>
            <a:rPr lang="en-US" sz="1100" baseline="0">
              <a:solidFill>
                <a:srgbClr val="00B0F0"/>
              </a:solidFill>
              <a:latin typeface="Calibri" panose="020F0502020204030204" pitchFamily="34" charset="0"/>
              <a:cs typeface="Calibri" panose="020F0502020204030204" pitchFamily="34" charset="0"/>
            </a:rPr>
            <a:t>São cálculos auxiliares que servem apenas para que a fórmula</a:t>
          </a:r>
        </a:p>
        <a:p>
          <a:r>
            <a:rPr lang="en-US" sz="1100" baseline="0">
              <a:solidFill>
                <a:srgbClr val="00B0F0"/>
              </a:solidFill>
              <a:latin typeface="Calibri" panose="020F0502020204030204" pitchFamily="34" charset="0"/>
              <a:cs typeface="Calibri" panose="020F0502020204030204" pitchFamily="34" charset="0"/>
            </a:rPr>
            <a:t>na coluna do </a:t>
          </a:r>
          <a:r>
            <a:rPr lang="el-GR" sz="1100" baseline="0">
              <a:solidFill>
                <a:srgbClr val="00B0F0"/>
              </a:solidFill>
              <a:latin typeface="Calibri" panose="020F0502020204030204" pitchFamily="34" charset="0"/>
              <a:cs typeface="Calibri" panose="020F0502020204030204" pitchFamily="34" charset="0"/>
            </a:rPr>
            <a:t>ρ</a:t>
          </a:r>
          <a:r>
            <a:rPr lang="en-US" sz="1100" baseline="-25000">
              <a:solidFill>
                <a:srgbClr val="00B0F0"/>
              </a:solidFill>
              <a:latin typeface="Calibri" panose="020F0502020204030204" pitchFamily="34" charset="0"/>
              <a:cs typeface="Calibri" panose="020F0502020204030204" pitchFamily="34" charset="0"/>
            </a:rPr>
            <a:t>s</a:t>
          </a:r>
          <a:r>
            <a:rPr lang="en-US" sz="1100" baseline="0">
              <a:solidFill>
                <a:srgbClr val="00B0F0"/>
              </a:solidFill>
              <a:latin typeface="Calibri" panose="020F0502020204030204" pitchFamily="34" charset="0"/>
              <a:cs typeface="Calibri" panose="020F0502020204030204" pitchFamily="34" charset="0"/>
            </a:rPr>
            <a:t> seja mais simples.</a:t>
          </a:r>
          <a:endParaRPr lang="pt-PT" sz="1100">
            <a:solidFill>
              <a:srgbClr val="00B0F0"/>
            </a:solidFill>
          </a:endParaRPr>
        </a:p>
      </xdr:txBody>
    </xdr:sp>
    <xdr:clientData/>
  </xdr:oneCellAnchor>
  <xdr:twoCellAnchor>
    <xdr:from>
      <xdr:col>0</xdr:col>
      <xdr:colOff>596900</xdr:colOff>
      <xdr:row>25</xdr:row>
      <xdr:rowOff>88900</xdr:rowOff>
    </xdr:from>
    <xdr:to>
      <xdr:col>2</xdr:col>
      <xdr:colOff>12700</xdr:colOff>
      <xdr:row>33</xdr:row>
      <xdr:rowOff>44450</xdr:rowOff>
    </xdr:to>
    <xdr:sp macro="" textlink="">
      <xdr:nvSpPr>
        <xdr:cNvPr id="15" name="Rounded Rectangle 14"/>
        <xdr:cNvSpPr/>
      </xdr:nvSpPr>
      <xdr:spPr>
        <a:xfrm>
          <a:off x="596900" y="4845050"/>
          <a:ext cx="635000" cy="1593850"/>
        </a:xfrm>
        <a:prstGeom prst="round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254000</xdr:colOff>
      <xdr:row>18</xdr:row>
      <xdr:rowOff>6350</xdr:rowOff>
    </xdr:from>
    <xdr:to>
      <xdr:col>8</xdr:col>
      <xdr:colOff>285750</xdr:colOff>
      <xdr:row>25</xdr:row>
      <xdr:rowOff>19050</xdr:rowOff>
    </xdr:to>
    <xdr:cxnSp macro="">
      <xdr:nvCxnSpPr>
        <xdr:cNvPr id="16" name="Straight Arrow Connector 15"/>
        <xdr:cNvCxnSpPr/>
      </xdr:nvCxnSpPr>
      <xdr:spPr>
        <a:xfrm flipV="1">
          <a:off x="863600" y="3397250"/>
          <a:ext cx="4298950" cy="137795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317500</xdr:colOff>
      <xdr:row>16</xdr:row>
      <xdr:rowOff>101600</xdr:rowOff>
    </xdr:from>
    <xdr:ext cx="4100225" cy="609013"/>
    <xdr:sp macro="" textlink="">
      <xdr:nvSpPr>
        <xdr:cNvPr id="19" name="TextBox 18"/>
        <xdr:cNvSpPr txBox="1"/>
      </xdr:nvSpPr>
      <xdr:spPr>
        <a:xfrm>
          <a:off x="5194300" y="3073400"/>
          <a:ext cx="410022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rgbClr val="00B050"/>
              </a:solidFill>
            </a:rPr>
            <a:t>Agora todas as variáveis são não correlacionadas pelo</a:t>
          </a:r>
        </a:p>
        <a:p>
          <a:r>
            <a:rPr lang="pt-PT" sz="1100">
              <a:solidFill>
                <a:srgbClr val="00B050"/>
              </a:solidFill>
            </a:rPr>
            <a:t>que o cálculo dos c(</a:t>
          </a:r>
          <a:r>
            <a:rPr lang="el-GR" sz="1100">
              <a:solidFill>
                <a:srgbClr val="00B050"/>
              </a:solidFill>
              <a:latin typeface="Calibri" panose="020F0502020204030204" pitchFamily="34" charset="0"/>
              <a:cs typeface="Calibri" panose="020F0502020204030204" pitchFamily="34" charset="0"/>
            </a:rPr>
            <a:t>ρ</a:t>
          </a:r>
          <a:r>
            <a:rPr lang="en-US" sz="1100">
              <a:solidFill>
                <a:srgbClr val="00B050"/>
              </a:solidFill>
              <a:latin typeface="Calibri" panose="020F0502020204030204" pitchFamily="34" charset="0"/>
              <a:cs typeface="Calibri" panose="020F0502020204030204" pitchFamily="34" charset="0"/>
            </a:rPr>
            <a:t>) e</a:t>
          </a:r>
          <a:r>
            <a:rPr lang="en-US" sz="1100" baseline="0">
              <a:solidFill>
                <a:srgbClr val="00B050"/>
              </a:solidFill>
              <a:latin typeface="Calibri" panose="020F0502020204030204" pitchFamily="34" charset="0"/>
              <a:cs typeface="Calibri" panose="020F0502020204030204" pitchFamily="34" charset="0"/>
            </a:rPr>
            <a:t> a fórmula de propagação das incertezas</a:t>
          </a:r>
        </a:p>
        <a:p>
          <a:r>
            <a:rPr lang="en-US" sz="1100" baseline="0">
              <a:solidFill>
                <a:srgbClr val="00B050"/>
              </a:solidFill>
              <a:latin typeface="Calibri" panose="020F0502020204030204" pitchFamily="34" charset="0"/>
              <a:cs typeface="Calibri" panose="020F0502020204030204" pitchFamily="34" charset="0"/>
            </a:rPr>
            <a:t>simplificada (supondo variáveis não correlacionadas) estão corretos.</a:t>
          </a:r>
          <a:endParaRPr lang="pt-PT" sz="1100">
            <a:solidFill>
              <a:srgbClr val="00B050"/>
            </a:solidFill>
          </a:endParaRPr>
        </a:p>
      </xdr:txBody>
    </xdr:sp>
    <xdr:clientData/>
  </xdr:oneCellAnchor>
  <xdr:twoCellAnchor>
    <xdr:from>
      <xdr:col>2</xdr:col>
      <xdr:colOff>0</xdr:colOff>
      <xdr:row>33</xdr:row>
      <xdr:rowOff>171450</xdr:rowOff>
    </xdr:from>
    <xdr:to>
      <xdr:col>3</xdr:col>
      <xdr:colOff>25400</xdr:colOff>
      <xdr:row>35</xdr:row>
      <xdr:rowOff>38100</xdr:rowOff>
    </xdr:to>
    <xdr:sp macro="" textlink="">
      <xdr:nvSpPr>
        <xdr:cNvPr id="20" name="Rounded Rectangle 19"/>
        <xdr:cNvSpPr/>
      </xdr:nvSpPr>
      <xdr:spPr>
        <a:xfrm>
          <a:off x="1219200" y="6565900"/>
          <a:ext cx="635000" cy="273050"/>
        </a:xfrm>
        <a:prstGeom prst="roundRect">
          <a:avLst/>
        </a:prstGeom>
        <a:noFill/>
        <a:ln w="28575">
          <a:solidFill>
            <a:srgbClr val="CC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</xdr:col>
      <xdr:colOff>57150</xdr:colOff>
      <xdr:row>32</xdr:row>
      <xdr:rowOff>133350</xdr:rowOff>
    </xdr:from>
    <xdr:to>
      <xdr:col>9</xdr:col>
      <xdr:colOff>190500</xdr:colOff>
      <xdr:row>34</xdr:row>
      <xdr:rowOff>25400</xdr:rowOff>
    </xdr:to>
    <xdr:cxnSp macro="">
      <xdr:nvCxnSpPr>
        <xdr:cNvPr id="21" name="Straight Arrow Connector 20"/>
        <xdr:cNvCxnSpPr/>
      </xdr:nvCxnSpPr>
      <xdr:spPr>
        <a:xfrm flipV="1">
          <a:off x="1885950" y="6318250"/>
          <a:ext cx="3790950" cy="285750"/>
        </a:xfrm>
        <a:prstGeom prst="straightConnector1">
          <a:avLst/>
        </a:prstGeom>
        <a:ln w="28575">
          <a:solidFill>
            <a:srgbClr val="CC00C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241300</xdr:colOff>
      <xdr:row>31</xdr:row>
      <xdr:rowOff>19050</xdr:rowOff>
    </xdr:from>
    <xdr:ext cx="3752246" cy="609013"/>
    <xdr:sp macro="" textlink="">
      <xdr:nvSpPr>
        <xdr:cNvPr id="23" name="TextBox 22"/>
        <xdr:cNvSpPr txBox="1"/>
      </xdr:nvSpPr>
      <xdr:spPr>
        <a:xfrm>
          <a:off x="5727700" y="5981700"/>
          <a:ext cx="3752246" cy="6090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rgbClr val="CC00CC"/>
              </a:solidFill>
            </a:rPr>
            <a:t>O valor da incerteza padrão dá um pouco diferente.</a:t>
          </a:r>
        </a:p>
        <a:p>
          <a:r>
            <a:rPr lang="pt-PT" sz="1100">
              <a:solidFill>
                <a:srgbClr val="CC00CC"/>
              </a:solidFill>
            </a:rPr>
            <a:t>Neste</a:t>
          </a:r>
          <a:r>
            <a:rPr lang="pt-PT" sz="1100" baseline="0">
              <a:solidFill>
                <a:srgbClr val="CC00CC"/>
              </a:solidFill>
            </a:rPr>
            <a:t> caso deu maior, mas quando se introduz as correlações,</a:t>
          </a:r>
        </a:p>
        <a:p>
          <a:r>
            <a:rPr lang="pt-PT" sz="1100" baseline="0">
              <a:solidFill>
                <a:srgbClr val="CC00CC"/>
              </a:solidFill>
            </a:rPr>
            <a:t>o valor pode dar maior ou menor.</a:t>
          </a:r>
          <a:endParaRPr lang="pt-PT" sz="1100">
            <a:solidFill>
              <a:srgbClr val="CC00CC"/>
            </a:solidFill>
          </a:endParaRPr>
        </a:p>
      </xdr:txBody>
    </xdr:sp>
    <xdr:clientData/>
  </xdr:oneCellAnchor>
  <xdr:oneCellAnchor>
    <xdr:from>
      <xdr:col>8</xdr:col>
      <xdr:colOff>292100</xdr:colOff>
      <xdr:row>23</xdr:row>
      <xdr:rowOff>101600</xdr:rowOff>
    </xdr:from>
    <xdr:ext cx="4555221" cy="1470146"/>
    <xdr:sp macro="" textlink="">
      <xdr:nvSpPr>
        <xdr:cNvPr id="24" name="TextBox 23"/>
        <xdr:cNvSpPr txBox="1"/>
      </xdr:nvSpPr>
      <xdr:spPr>
        <a:xfrm>
          <a:off x="5168900" y="4438650"/>
          <a:ext cx="4555221" cy="147014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PT" sz="1100">
              <a:solidFill>
                <a:srgbClr val="3333FF"/>
              </a:solidFill>
            </a:rPr>
            <a:t>Nota geral:</a:t>
          </a:r>
        </a:p>
        <a:p>
          <a:r>
            <a:rPr lang="pt-PT" sz="1100" baseline="0">
              <a:solidFill>
                <a:srgbClr val="3333FF"/>
              </a:solidFill>
            </a:rPr>
            <a:t>  </a:t>
          </a:r>
          <a:r>
            <a:rPr lang="pt-PT" sz="1100" baseline="0">
              <a:solidFill>
                <a:srgbClr val="3333FF"/>
              </a:solidFill>
              <a:latin typeface="Calibri" panose="020F0502020204030204" pitchFamily="34" charset="0"/>
              <a:cs typeface="Calibri" panose="020F0502020204030204" pitchFamily="34" charset="0"/>
            </a:rPr>
            <a:t>• Este problema é um desafio para vocês, acima do que é exigido nesta UC.</a:t>
          </a:r>
        </a:p>
        <a:p>
          <a:r>
            <a:rPr lang="pt-PT" sz="1100" baseline="0">
              <a:solidFill>
                <a:srgbClr val="3333FF"/>
              </a:solidFill>
              <a:effectLst/>
              <a:latin typeface="+mn-lt"/>
              <a:ea typeface="+mn-ea"/>
              <a:cs typeface="+mn-cs"/>
            </a:rPr>
            <a:t>  • Reparem que, neste caso, foi fácil corrigir os cálculos porque a correlação</a:t>
          </a:r>
        </a:p>
        <a:p>
          <a:r>
            <a:rPr lang="pt-PT" sz="1100" baseline="0">
              <a:solidFill>
                <a:srgbClr val="3333FF"/>
              </a:solidFill>
              <a:effectLst/>
              <a:latin typeface="+mn-lt"/>
              <a:ea typeface="+mn-ea"/>
              <a:cs typeface="+mn-cs"/>
            </a:rPr>
            <a:t>     não é intrínseca às variáveis de partida, mas deve-se à variável auxiliar k.</a:t>
          </a:r>
        </a:p>
        <a:p>
          <a:r>
            <a:rPr lang="pt-PT" sz="1100" baseline="0">
              <a:solidFill>
                <a:srgbClr val="3333FF"/>
              </a:solidFill>
              <a:effectLst/>
              <a:latin typeface="+mn-lt"/>
              <a:ea typeface="+mn-ea"/>
              <a:cs typeface="+mn-cs"/>
            </a:rPr>
            <a:t>     A situação é similar à descrita no protocolo da densidade dos objetos.</a:t>
          </a:r>
        </a:p>
        <a:p>
          <a:r>
            <a:rPr lang="pt-PT" sz="1100" baseline="0">
              <a:solidFill>
                <a:srgbClr val="3333FF"/>
              </a:solidFill>
              <a:effectLst/>
              <a:latin typeface="+mn-lt"/>
              <a:ea typeface="+mn-ea"/>
              <a:cs typeface="+mn-cs"/>
            </a:rPr>
            <a:t>  • O que os cálculos corrigidos fazem não é mais do que calcular os c(</a:t>
          </a:r>
          <a:r>
            <a:rPr lang="el-GR" sz="1100" baseline="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ρ</a:t>
          </a:r>
          <a:r>
            <a:rPr lang="en-US" sz="1100" baseline="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) a</a:t>
          </a:r>
        </a:p>
        <a:p>
          <a:r>
            <a:rPr lang="en-US" sz="1100" baseline="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    partir das variáveis originais e não do k (reparem que o coeficiente c</a:t>
          </a:r>
          <a:r>
            <a:rPr lang="en-US" sz="1100" baseline="-2500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k</a:t>
          </a:r>
          <a:r>
            <a:rPr lang="en-US" sz="1100" baseline="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(</a:t>
          </a:r>
          <a:r>
            <a:rPr lang="el-GR" sz="1100" baseline="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ρ</a:t>
          </a:r>
          <a:r>
            <a:rPr lang="en-US" sz="1100" baseline="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)</a:t>
          </a:r>
        </a:p>
        <a:p>
          <a:r>
            <a:rPr lang="en-US" sz="1100" baseline="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    não é calculado e não é tido em conta para o cálculo de u</a:t>
          </a:r>
          <a:r>
            <a:rPr lang="el-GR" sz="1100" baseline="-2500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ρ</a:t>
          </a:r>
          <a:r>
            <a:rPr lang="en-US" sz="1100" baseline="-2500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</a:t>
          </a:r>
          <a:r>
            <a:rPr lang="en-US" sz="1100" baseline="0">
              <a:solidFill>
                <a:srgbClr val="3333FF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).</a:t>
          </a:r>
          <a:endParaRPr lang="pt-PT" sz="1100" baseline="0">
            <a:solidFill>
              <a:srgbClr val="3333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workbookViewId="0">
      <selection activeCell="F7" sqref="F7"/>
    </sheetView>
  </sheetViews>
  <sheetFormatPr defaultRowHeight="14.5" x14ac:dyDescent="0.35"/>
  <cols>
    <col min="4" max="4" width="2.36328125" customWidth="1"/>
  </cols>
  <sheetData>
    <row r="2" spans="1:8" x14ac:dyDescent="0.35">
      <c r="B2" s="31" t="s">
        <v>12</v>
      </c>
      <c r="C2" s="32"/>
      <c r="D2" s="32"/>
      <c r="E2" s="32"/>
      <c r="F2" s="32"/>
      <c r="G2" s="32"/>
      <c r="H2" s="32"/>
    </row>
    <row r="4" spans="1:8" x14ac:dyDescent="0.35">
      <c r="C4" s="4" t="s">
        <v>17</v>
      </c>
      <c r="D4" s="4"/>
    </row>
    <row r="5" spans="1:8" ht="16.5" x14ac:dyDescent="0.45">
      <c r="B5" s="3" t="s">
        <v>13</v>
      </c>
      <c r="C5" s="11">
        <v>344</v>
      </c>
      <c r="D5" s="5"/>
    </row>
    <row r="6" spans="1:8" ht="16.5" x14ac:dyDescent="0.45">
      <c r="B6" s="3" t="s">
        <v>14</v>
      </c>
      <c r="C6" s="11">
        <v>343.2</v>
      </c>
      <c r="D6" s="5"/>
    </row>
    <row r="7" spans="1:8" ht="16.5" x14ac:dyDescent="0.45">
      <c r="B7" s="3" t="s">
        <v>15</v>
      </c>
      <c r="C7" s="11">
        <v>342.4</v>
      </c>
      <c r="D7" s="5"/>
    </row>
    <row r="8" spans="1:8" ht="16.5" x14ac:dyDescent="0.45">
      <c r="B8" s="3" t="s">
        <v>16</v>
      </c>
      <c r="C8" s="11">
        <v>348</v>
      </c>
      <c r="D8" s="5"/>
    </row>
    <row r="9" spans="1:8" x14ac:dyDescent="0.35">
      <c r="B9" s="3" t="s">
        <v>18</v>
      </c>
      <c r="C9" s="12">
        <f>AVERAGE(C5:C8)</f>
        <v>344.4</v>
      </c>
      <c r="D9" s="7"/>
    </row>
    <row r="10" spans="1:8" ht="16.5" x14ac:dyDescent="0.45">
      <c r="A10" s="2" t="s">
        <v>21</v>
      </c>
      <c r="B10" s="3" t="s">
        <v>19</v>
      </c>
      <c r="C10" s="14">
        <f>_xlfn.STDEV.S(C5:C8)</f>
        <v>2.4873010808236922</v>
      </c>
      <c r="D10" s="7"/>
    </row>
    <row r="11" spans="1:8" ht="16.5" x14ac:dyDescent="0.45">
      <c r="A11" s="2" t="s">
        <v>22</v>
      </c>
      <c r="B11" s="3" t="s">
        <v>20</v>
      </c>
      <c r="C11" s="14">
        <f>C10/SQRT(COUNT(C5:C8))</f>
        <v>1.2436505404118461</v>
      </c>
      <c r="D11" s="7"/>
    </row>
    <row r="12" spans="1:8" x14ac:dyDescent="0.35">
      <c r="A12" s="2" t="s">
        <v>22</v>
      </c>
      <c r="B12" s="3" t="s">
        <v>67</v>
      </c>
      <c r="C12" s="14">
        <f>C9</f>
        <v>344.4</v>
      </c>
      <c r="D12" s="15" t="s">
        <v>23</v>
      </c>
      <c r="E12" s="14">
        <f>C11</f>
        <v>1.2436505404118461</v>
      </c>
      <c r="F12" s="4" t="s">
        <v>17</v>
      </c>
    </row>
    <row r="15" spans="1:8" x14ac:dyDescent="0.35">
      <c r="B15" s="16" t="s">
        <v>24</v>
      </c>
    </row>
    <row r="17" spans="2:3" x14ac:dyDescent="0.35">
      <c r="B17" s="3" t="s">
        <v>18</v>
      </c>
      <c r="C17" s="12">
        <f>SUM(C5:C8)/COUNT(C5:C8)</f>
        <v>344.4</v>
      </c>
    </row>
    <row r="18" spans="2:3" ht="16.5" x14ac:dyDescent="0.45">
      <c r="B18" s="3" t="s">
        <v>19</v>
      </c>
      <c r="C18" s="14">
        <f t="array" ref="C18">SQRT(SUM((C5:C8-C17)^2)/(COUNT(C5:C8)-1))</f>
        <v>2.4873010808236922</v>
      </c>
    </row>
    <row r="19" spans="2:3" ht="16.5" x14ac:dyDescent="0.45">
      <c r="B19" s="3" t="s">
        <v>20</v>
      </c>
      <c r="C19" s="14">
        <f>C18/SQRT(COUNT(C5:C8))</f>
        <v>1.2436505404118461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9"/>
  <sheetViews>
    <sheetView workbookViewId="0">
      <selection activeCell="C11" sqref="C11"/>
    </sheetView>
  </sheetViews>
  <sheetFormatPr defaultRowHeight="14.5" x14ac:dyDescent="0.35"/>
  <sheetData>
    <row r="3" spans="2:9" x14ac:dyDescent="0.35">
      <c r="B3" s="2" t="s">
        <v>6</v>
      </c>
      <c r="C3" s="5">
        <v>87.5</v>
      </c>
      <c r="D3" s="10" t="s">
        <v>25</v>
      </c>
      <c r="E3" s="3" t="s">
        <v>27</v>
      </c>
      <c r="F3" s="2" t="s">
        <v>6</v>
      </c>
      <c r="G3" s="5">
        <v>87.5</v>
      </c>
      <c r="H3" s="10" t="s">
        <v>25</v>
      </c>
      <c r="I3" s="3" t="s">
        <v>28</v>
      </c>
    </row>
    <row r="4" spans="2:9" ht="16.5" x14ac:dyDescent="0.45">
      <c r="B4" s="2" t="s">
        <v>7</v>
      </c>
      <c r="C4" s="5">
        <v>0.5</v>
      </c>
      <c r="D4" s="10" t="s">
        <v>25</v>
      </c>
      <c r="F4" s="2" t="s">
        <v>7</v>
      </c>
      <c r="G4" s="5">
        <v>0.3</v>
      </c>
      <c r="H4" s="10" t="s">
        <v>25</v>
      </c>
    </row>
    <row r="5" spans="2:9" x14ac:dyDescent="0.35">
      <c r="B5" s="2" t="s">
        <v>5</v>
      </c>
      <c r="C5" s="17" t="s">
        <v>4</v>
      </c>
      <c r="D5" s="10"/>
      <c r="F5" s="2" t="s">
        <v>5</v>
      </c>
      <c r="G5" s="17" t="s">
        <v>4</v>
      </c>
      <c r="H5" s="10"/>
    </row>
    <row r="6" spans="2:9" ht="16.5" x14ac:dyDescent="0.45">
      <c r="B6" s="2" t="s">
        <v>26</v>
      </c>
      <c r="C6" s="12">
        <f>C4/SQRT(6)</f>
        <v>0.20412414523193154</v>
      </c>
      <c r="D6" s="10" t="s">
        <v>25</v>
      </c>
      <c r="F6" s="2" t="s">
        <v>26</v>
      </c>
      <c r="G6" s="12">
        <f>G4/SQRT(6)</f>
        <v>0.12247448713915891</v>
      </c>
      <c r="H6" s="10" t="s">
        <v>25</v>
      </c>
    </row>
    <row r="8" spans="2:9" x14ac:dyDescent="0.35">
      <c r="B8" s="2" t="s">
        <v>6</v>
      </c>
      <c r="C8" s="12">
        <f>5/9*(C3-32)</f>
        <v>30.833333333333336</v>
      </c>
      <c r="D8" s="10" t="s">
        <v>8</v>
      </c>
      <c r="F8" s="2" t="s">
        <v>6</v>
      </c>
      <c r="G8" s="12">
        <f>5/9*(G3-32)</f>
        <v>30.833333333333336</v>
      </c>
      <c r="H8" s="10" t="s">
        <v>8</v>
      </c>
    </row>
    <row r="9" spans="2:9" ht="16.5" x14ac:dyDescent="0.45">
      <c r="B9" s="2" t="s">
        <v>26</v>
      </c>
      <c r="C9" s="12">
        <f>5/9*C6</f>
        <v>0.11340230290662863</v>
      </c>
      <c r="D9" s="10" t="s">
        <v>8</v>
      </c>
      <c r="F9" s="2" t="s">
        <v>26</v>
      </c>
      <c r="G9" s="12">
        <f>5/9*G6</f>
        <v>6.8041381743977183E-2</v>
      </c>
      <c r="H9" s="10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1:G29"/>
  <sheetViews>
    <sheetView workbookViewId="0">
      <selection activeCell="J18" sqref="J18"/>
    </sheetView>
  </sheetViews>
  <sheetFormatPr defaultRowHeight="14.5" x14ac:dyDescent="0.35"/>
  <sheetData>
    <row r="11" spans="2:5" x14ac:dyDescent="0.35">
      <c r="B11" t="s">
        <v>38</v>
      </c>
    </row>
    <row r="12" spans="2:5" ht="29" x14ac:dyDescent="0.35">
      <c r="C12" s="3" t="s">
        <v>30</v>
      </c>
      <c r="D12" s="20" t="s">
        <v>34</v>
      </c>
    </row>
    <row r="13" spans="2:5" x14ac:dyDescent="0.35">
      <c r="B13" s="6" t="s">
        <v>29</v>
      </c>
      <c r="C13" s="5">
        <v>0.80100000000000005</v>
      </c>
      <c r="D13" s="5">
        <v>0</v>
      </c>
      <c r="E13" s="10" t="s">
        <v>31</v>
      </c>
    </row>
    <row r="14" spans="2:5" ht="16.5" x14ac:dyDescent="0.35">
      <c r="B14" s="2" t="s">
        <v>32</v>
      </c>
      <c r="C14" s="5">
        <v>4.7199999999999999E-2</v>
      </c>
      <c r="D14" s="5">
        <v>8.9999999999999998E-4</v>
      </c>
      <c r="E14" s="10" t="s">
        <v>33</v>
      </c>
    </row>
    <row r="15" spans="2:5" ht="16.5" x14ac:dyDescent="0.35">
      <c r="B15" s="6" t="s">
        <v>35</v>
      </c>
      <c r="C15" s="5">
        <v>0.106</v>
      </c>
      <c r="D15" s="5">
        <v>7.0000000000000001E-3</v>
      </c>
      <c r="E15" s="10" t="s">
        <v>36</v>
      </c>
    </row>
    <row r="16" spans="2:5" ht="16.5" x14ac:dyDescent="0.45">
      <c r="B16" s="6" t="s">
        <v>37</v>
      </c>
      <c r="C16" s="22">
        <f>1/4/C13*C14*C15</f>
        <v>1.5615480649188512E-3</v>
      </c>
      <c r="D16" s="22">
        <f>C16*SQRT((D13/C13)^2+(D14/C14)^2+(D15/C15)^2)</f>
        <v>1.0733372412521614E-4</v>
      </c>
      <c r="E16" s="10" t="s">
        <v>17</v>
      </c>
    </row>
    <row r="18" spans="2:7" x14ac:dyDescent="0.35">
      <c r="B18" s="9" t="s">
        <v>39</v>
      </c>
    </row>
    <row r="19" spans="2:7" x14ac:dyDescent="0.35">
      <c r="F19" s="24" t="s">
        <v>17</v>
      </c>
    </row>
    <row r="20" spans="2:7" ht="16.5" x14ac:dyDescent="0.45">
      <c r="C20" s="3" t="s">
        <v>40</v>
      </c>
      <c r="D20" s="3" t="s">
        <v>42</v>
      </c>
      <c r="E20" s="3" t="s">
        <v>41</v>
      </c>
      <c r="F20" s="8" t="s">
        <v>37</v>
      </c>
      <c r="G20" s="8" t="s">
        <v>43</v>
      </c>
    </row>
    <row r="21" spans="2:7" x14ac:dyDescent="0.35">
      <c r="C21" s="3"/>
      <c r="D21" s="3"/>
      <c r="E21" s="7"/>
      <c r="F21" s="23">
        <f>1/4/C$22*C$23*C$24</f>
        <v>1.5615480649188512E-3</v>
      </c>
    </row>
    <row r="22" spans="2:7" x14ac:dyDescent="0.35">
      <c r="B22" s="8" t="s">
        <v>29</v>
      </c>
      <c r="C22" s="5">
        <v>0.80100000000000005</v>
      </c>
      <c r="D22" s="5">
        <v>0</v>
      </c>
      <c r="E22" s="7">
        <f>C22+D22</f>
        <v>0.80100000000000005</v>
      </c>
      <c r="F22" s="7">
        <f>1/4/E$22*C$23*C$24</f>
        <v>1.5615480649188512E-3</v>
      </c>
      <c r="G22" s="7" t="e">
        <f>(F22-$F$21)/D22</f>
        <v>#DIV/0!</v>
      </c>
    </row>
    <row r="23" spans="2:7" x14ac:dyDescent="0.35">
      <c r="B23" s="3" t="s">
        <v>32</v>
      </c>
      <c r="C23" s="5">
        <v>4.7199999999999999E-2</v>
      </c>
      <c r="D23" s="5">
        <v>8.9999999999999998E-4</v>
      </c>
      <c r="E23" s="7">
        <f t="shared" ref="E23:E24" si="0">C23+D23</f>
        <v>4.8099999999999997E-2</v>
      </c>
      <c r="F23" s="7">
        <f>1/4/C$22*E$23*C$24</f>
        <v>1.5913233458177275E-3</v>
      </c>
      <c r="G23" s="7">
        <f t="shared" ref="G23:G24" si="1">(F23-$F$21)/D23</f>
        <v>3.3083645443195912E-2</v>
      </c>
    </row>
    <row r="24" spans="2:7" ht="16.5" x14ac:dyDescent="0.35">
      <c r="B24" s="8" t="s">
        <v>35</v>
      </c>
      <c r="C24" s="5">
        <v>0.106</v>
      </c>
      <c r="D24" s="5">
        <v>7.0000000000000001E-3</v>
      </c>
      <c r="E24" s="7">
        <f t="shared" si="0"/>
        <v>0.113</v>
      </c>
      <c r="F24" s="7">
        <f>1/4/C$22*C$23*E$24</f>
        <v>1.6646691635455678E-3</v>
      </c>
      <c r="G24" s="7">
        <f t="shared" si="1"/>
        <v>1.4731585518102382E-2</v>
      </c>
    </row>
    <row r="26" spans="2:7" ht="16.5" x14ac:dyDescent="0.45">
      <c r="B26" s="8" t="s">
        <v>44</v>
      </c>
      <c r="C26" s="22">
        <f>SQRT((G23*D23)^2+(G24*D24)^2)</f>
        <v>1.0733372412521619E-4</v>
      </c>
      <c r="D26" s="10" t="s">
        <v>17</v>
      </c>
    </row>
    <row r="28" spans="2:7" x14ac:dyDescent="0.35">
      <c r="C28" t="s">
        <v>63</v>
      </c>
    </row>
    <row r="29" spans="2:7" x14ac:dyDescent="0.35">
      <c r="C29" t="s">
        <v>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5"/>
  <sheetViews>
    <sheetView zoomScale="150" zoomScaleNormal="150" workbookViewId="0">
      <selection activeCell="B16" sqref="B16"/>
    </sheetView>
  </sheetViews>
  <sheetFormatPr defaultRowHeight="14.5" x14ac:dyDescent="0.35"/>
  <cols>
    <col min="4" max="4" width="13.7265625" customWidth="1"/>
  </cols>
  <sheetData>
    <row r="4" spans="2:7" x14ac:dyDescent="0.35">
      <c r="B4" t="s">
        <v>45</v>
      </c>
    </row>
    <row r="5" spans="2:7" ht="17.5" x14ac:dyDescent="0.45">
      <c r="B5" s="3" t="s">
        <v>46</v>
      </c>
      <c r="C5" s="3" t="s">
        <v>47</v>
      </c>
      <c r="D5" s="3" t="s">
        <v>48</v>
      </c>
      <c r="E5" s="3"/>
      <c r="F5" s="3"/>
      <c r="G5" s="3"/>
    </row>
    <row r="7" spans="2:7" x14ac:dyDescent="0.35">
      <c r="B7" t="s">
        <v>49</v>
      </c>
    </row>
    <row r="8" spans="2:7" ht="16.5" x14ac:dyDescent="0.45">
      <c r="C8" t="s">
        <v>50</v>
      </c>
    </row>
    <row r="9" spans="2:7" x14ac:dyDescent="0.35">
      <c r="C9" t="s">
        <v>51</v>
      </c>
    </row>
    <row r="11" spans="2:7" x14ac:dyDescent="0.35">
      <c r="B11" t="s">
        <v>52</v>
      </c>
    </row>
    <row r="12" spans="2:7" ht="16.5" x14ac:dyDescent="0.45">
      <c r="C12" t="s">
        <v>53</v>
      </c>
    </row>
    <row r="13" spans="2:7" x14ac:dyDescent="0.35">
      <c r="C13" t="s">
        <v>54</v>
      </c>
    </row>
    <row r="15" spans="2:7" x14ac:dyDescent="0.35">
      <c r="B1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G24"/>
  <sheetViews>
    <sheetView topLeftCell="A4" workbookViewId="0">
      <selection activeCell="B24" sqref="B24:F24"/>
    </sheetView>
  </sheetViews>
  <sheetFormatPr defaultRowHeight="14.5" x14ac:dyDescent="0.35"/>
  <sheetData>
    <row r="7" spans="2:5" x14ac:dyDescent="0.35">
      <c r="B7" t="s">
        <v>56</v>
      </c>
    </row>
    <row r="9" spans="2:5" x14ac:dyDescent="0.35">
      <c r="B9" t="s">
        <v>57</v>
      </c>
    </row>
    <row r="10" spans="2:5" x14ac:dyDescent="0.35">
      <c r="C10" t="s">
        <v>30</v>
      </c>
      <c r="D10" t="s">
        <v>60</v>
      </c>
    </row>
    <row r="11" spans="2:5" x14ac:dyDescent="0.35">
      <c r="B11" s="2" t="s">
        <v>58</v>
      </c>
      <c r="C11" s="5">
        <v>1.032</v>
      </c>
      <c r="D11" s="5">
        <v>2E-3</v>
      </c>
      <c r="E11" s="1" t="s">
        <v>2</v>
      </c>
    </row>
    <row r="12" spans="2:5" x14ac:dyDescent="0.35">
      <c r="B12" s="2" t="s">
        <v>3</v>
      </c>
      <c r="C12" s="5">
        <v>100</v>
      </c>
      <c r="D12" s="5" t="s">
        <v>61</v>
      </c>
      <c r="E12" s="1" t="s">
        <v>59</v>
      </c>
    </row>
    <row r="13" spans="2:5" x14ac:dyDescent="0.35">
      <c r="B13" s="2" t="s">
        <v>9</v>
      </c>
      <c r="C13" s="7">
        <f>C11/C12*1000</f>
        <v>10.32</v>
      </c>
      <c r="D13" s="7">
        <f>D11/C12*1000</f>
        <v>0.02</v>
      </c>
      <c r="E13" s="10" t="s">
        <v>10</v>
      </c>
    </row>
    <row r="15" spans="2:5" x14ac:dyDescent="0.35">
      <c r="B15" s="16" t="s">
        <v>62</v>
      </c>
    </row>
    <row r="16" spans="2:5" x14ac:dyDescent="0.35">
      <c r="C16" t="s">
        <v>30</v>
      </c>
      <c r="D16" t="s">
        <v>60</v>
      </c>
    </row>
    <row r="17" spans="2:7" x14ac:dyDescent="0.35">
      <c r="B17" s="2" t="s">
        <v>9</v>
      </c>
      <c r="C17" s="5">
        <v>10.32</v>
      </c>
      <c r="D17" s="5">
        <v>0.02</v>
      </c>
      <c r="E17" s="10" t="s">
        <v>10</v>
      </c>
    </row>
    <row r="18" spans="2:7" x14ac:dyDescent="0.35">
      <c r="B18" s="2" t="s">
        <v>58</v>
      </c>
      <c r="C18" s="5">
        <v>2.3159999999999998</v>
      </c>
      <c r="D18" s="5">
        <v>3.0000000000000001E-3</v>
      </c>
      <c r="E18" s="1" t="s">
        <v>2</v>
      </c>
    </row>
    <row r="19" spans="2:7" x14ac:dyDescent="0.35">
      <c r="B19" s="2" t="s">
        <v>3</v>
      </c>
      <c r="C19" s="14">
        <f>C18/C17*1000</f>
        <v>224.41860465116275</v>
      </c>
      <c r="D19" s="14">
        <f>C19*SQRT((D17/C17)^2+(D18/C18)^2)</f>
        <v>0.52312555841279396</v>
      </c>
      <c r="E19" s="1" t="s">
        <v>59</v>
      </c>
    </row>
    <row r="21" spans="2:7" ht="16.5" x14ac:dyDescent="0.45">
      <c r="B21" s="2" t="s">
        <v>65</v>
      </c>
      <c r="C21" s="12">
        <f>1.96*D19</f>
        <v>1.0253260944890761</v>
      </c>
      <c r="D21" s="1" t="s">
        <v>59</v>
      </c>
    </row>
    <row r="22" spans="2:7" x14ac:dyDescent="0.35">
      <c r="C22" t="s">
        <v>66</v>
      </c>
    </row>
    <row r="24" spans="2:7" x14ac:dyDescent="0.35">
      <c r="B24" s="2" t="s">
        <v>69</v>
      </c>
      <c r="C24" s="14">
        <f>C19</f>
        <v>224.41860465116275</v>
      </c>
      <c r="D24" s="26" t="s">
        <v>23</v>
      </c>
      <c r="E24" s="14">
        <f>C21</f>
        <v>1.0253260944890761</v>
      </c>
      <c r="F24" s="4" t="s">
        <v>17</v>
      </c>
      <c r="G24" s="25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3:H41"/>
  <sheetViews>
    <sheetView workbookViewId="0">
      <selection activeCell="I20" sqref="I20"/>
    </sheetView>
  </sheetViews>
  <sheetFormatPr defaultRowHeight="14.5" x14ac:dyDescent="0.35"/>
  <sheetData>
    <row r="13" spans="2:7" x14ac:dyDescent="0.35">
      <c r="B13" s="9" t="s">
        <v>39</v>
      </c>
    </row>
    <row r="14" spans="2:7" x14ac:dyDescent="0.35">
      <c r="F14" s="24" t="s">
        <v>78</v>
      </c>
    </row>
    <row r="15" spans="2:7" ht="16.5" x14ac:dyDescent="0.45">
      <c r="C15" s="3" t="s">
        <v>40</v>
      </c>
      <c r="D15" s="3" t="s">
        <v>42</v>
      </c>
      <c r="E15" s="3" t="s">
        <v>41</v>
      </c>
      <c r="F15" s="8" t="s">
        <v>77</v>
      </c>
      <c r="G15" s="8" t="s">
        <v>79</v>
      </c>
    </row>
    <row r="16" spans="2:7" x14ac:dyDescent="0.35">
      <c r="C16" s="3"/>
      <c r="D16" s="3"/>
      <c r="E16" s="7"/>
      <c r="F16" s="23">
        <f>(2*PI()/C$19)^2*(C$17+C$18/3)/1000</f>
        <v>0.11906657482206665</v>
      </c>
    </row>
    <row r="17" spans="1:7" ht="16.5" x14ac:dyDescent="0.45">
      <c r="A17" s="4" t="s">
        <v>11</v>
      </c>
      <c r="B17" s="8" t="s">
        <v>70</v>
      </c>
      <c r="C17" s="5">
        <v>17.12</v>
      </c>
      <c r="D17" s="5">
        <v>0.05</v>
      </c>
      <c r="E17" s="7">
        <f>C17+D17</f>
        <v>17.170000000000002</v>
      </c>
      <c r="F17" s="7">
        <f>(2*PI()/C$19)^2*(E$17+C$18/3)/1000</f>
        <v>0.11929339710074721</v>
      </c>
      <c r="G17" s="7">
        <f>(F17-$F$16)/D17</f>
        <v>4.5364455736113252E-3</v>
      </c>
    </row>
    <row r="18" spans="1:7" ht="16.5" x14ac:dyDescent="0.45">
      <c r="A18" s="4" t="s">
        <v>11</v>
      </c>
      <c r="B18" s="8" t="s">
        <v>71</v>
      </c>
      <c r="C18" s="5">
        <v>27.38</v>
      </c>
      <c r="D18" s="5">
        <v>0.05</v>
      </c>
      <c r="E18" s="7">
        <f t="shared" ref="E18:E30" si="0">C18+D18</f>
        <v>27.43</v>
      </c>
      <c r="F18" s="7">
        <f>(2*PI()/C$19)^2*(C$17+E$18/3)/1000</f>
        <v>0.1191421822482935</v>
      </c>
      <c r="G18" s="7">
        <f t="shared" ref="G18:G19" si="1">(F18-$F$16)/D18</f>
        <v>1.5121485245370159E-3</v>
      </c>
    </row>
    <row r="19" spans="1:7" x14ac:dyDescent="0.35">
      <c r="A19" s="4" t="s">
        <v>1</v>
      </c>
      <c r="B19" s="8" t="s">
        <v>6</v>
      </c>
      <c r="C19" s="5">
        <v>2.95</v>
      </c>
      <c r="D19" s="5">
        <v>7.0000000000000007E-2</v>
      </c>
      <c r="E19" s="7">
        <f t="shared" si="0"/>
        <v>3.02</v>
      </c>
      <c r="F19" s="7">
        <f>(2*PI()/E$19)^2*(C$17+C$18/3)/1000</f>
        <v>0.11361090164784819</v>
      </c>
      <c r="G19" s="7">
        <f t="shared" si="1"/>
        <v>-7.7938188203120748E-2</v>
      </c>
    </row>
    <row r="20" spans="1:7" x14ac:dyDescent="0.35">
      <c r="A20" s="4"/>
      <c r="B20" s="8"/>
      <c r="C20" s="5"/>
      <c r="D20" s="5"/>
      <c r="E20" s="7"/>
      <c r="F20" s="7"/>
      <c r="G20" s="7"/>
    </row>
    <row r="21" spans="1:7" ht="16.5" x14ac:dyDescent="0.45">
      <c r="A21" s="4"/>
      <c r="B21" s="8" t="s">
        <v>80</v>
      </c>
      <c r="C21" s="22">
        <f>SQRT((G18*D18)^2+(G19*D19)^2+(G17*D17)^2)</f>
        <v>5.4609096873042438E-3</v>
      </c>
      <c r="D21" s="24" t="s">
        <v>78</v>
      </c>
      <c r="E21" s="7"/>
      <c r="F21" s="7"/>
      <c r="G21" s="7"/>
    </row>
    <row r="22" spans="1:7" x14ac:dyDescent="0.35">
      <c r="A22" s="4"/>
      <c r="B22" s="2" t="s">
        <v>81</v>
      </c>
      <c r="C22" s="13">
        <f>F16</f>
        <v>0.11906657482206665</v>
      </c>
      <c r="D22" s="26" t="s">
        <v>23</v>
      </c>
      <c r="E22" s="13">
        <f>C21</f>
        <v>5.4609096873042438E-3</v>
      </c>
      <c r="F22" s="24" t="s">
        <v>78</v>
      </c>
      <c r="G22" s="7"/>
    </row>
    <row r="23" spans="1:7" x14ac:dyDescent="0.35">
      <c r="A23" s="4"/>
      <c r="B23" s="8"/>
      <c r="C23" s="5"/>
      <c r="D23" s="5"/>
      <c r="E23" s="7"/>
      <c r="F23" s="7"/>
      <c r="G23" s="7"/>
    </row>
    <row r="24" spans="1:7" ht="16.5" x14ac:dyDescent="0.35">
      <c r="A24" s="4"/>
      <c r="B24" s="8"/>
      <c r="C24" s="5"/>
      <c r="D24" s="5"/>
      <c r="F24" s="4" t="s">
        <v>75</v>
      </c>
      <c r="G24" s="7"/>
    </row>
    <row r="25" spans="1:7" ht="16.5" x14ac:dyDescent="0.45">
      <c r="A25" s="4"/>
      <c r="B25" s="8"/>
      <c r="C25" s="3" t="s">
        <v>40</v>
      </c>
      <c r="D25" s="3" t="s">
        <v>42</v>
      </c>
      <c r="E25" s="3" t="s">
        <v>41</v>
      </c>
      <c r="F25" s="15" t="s">
        <v>82</v>
      </c>
      <c r="G25" s="8" t="s">
        <v>101</v>
      </c>
    </row>
    <row r="26" spans="1:7" x14ac:dyDescent="0.35">
      <c r="A26" s="4"/>
      <c r="B26" s="8"/>
      <c r="C26" s="5"/>
      <c r="D26" s="5"/>
      <c r="E26" s="7"/>
      <c r="F26" s="23">
        <f>C$31*C$28*C$32/C$27/(C$30-C$29)/1000</f>
        <v>7872.0336986780048</v>
      </c>
      <c r="G26" s="7"/>
    </row>
    <row r="27" spans="1:7" x14ac:dyDescent="0.35">
      <c r="A27" s="24" t="s">
        <v>78</v>
      </c>
      <c r="B27" s="8" t="s">
        <v>77</v>
      </c>
      <c r="C27" s="19">
        <f>C22</f>
        <v>0.11906657482206665</v>
      </c>
      <c r="D27" s="19">
        <f>E22</f>
        <v>5.4609096873042438E-3</v>
      </c>
      <c r="E27" s="13">
        <f>C27+D27</f>
        <v>0.12452748450937089</v>
      </c>
      <c r="F27" s="7">
        <f>C$31*C$28*C$32/E$27/(C$30-C$29)/1000</f>
        <v>7526.8210313438203</v>
      </c>
      <c r="G27" s="7">
        <f>(F27-$F$26)/D27</f>
        <v>-63215.230996540682</v>
      </c>
    </row>
    <row r="28" spans="1:7" ht="16.5" x14ac:dyDescent="0.45">
      <c r="A28" s="4" t="s">
        <v>11</v>
      </c>
      <c r="B28" s="8" t="s">
        <v>70</v>
      </c>
      <c r="C28" s="5">
        <v>17.12</v>
      </c>
      <c r="D28" s="5">
        <v>0.05</v>
      </c>
      <c r="E28" s="7">
        <f>C28+D28</f>
        <v>17.170000000000002</v>
      </c>
      <c r="F28" s="7">
        <f>C$31*E$28*C$32/C$27/(C$30-C$29)/1000</f>
        <v>7895.0244513026473</v>
      </c>
      <c r="G28" s="7">
        <f t="shared" ref="G28:G32" si="2">(F28-$F$26)/D28</f>
        <v>459.81505249284965</v>
      </c>
    </row>
    <row r="29" spans="1:7" ht="16.5" x14ac:dyDescent="0.45">
      <c r="A29" s="4" t="s">
        <v>0</v>
      </c>
      <c r="B29" s="8" t="s">
        <v>72</v>
      </c>
      <c r="C29" s="5">
        <v>0.34699999999999998</v>
      </c>
      <c r="D29" s="5">
        <v>1E-3</v>
      </c>
      <c r="E29" s="7">
        <f t="shared" si="0"/>
        <v>0.34799999999999998</v>
      </c>
      <c r="F29" s="7">
        <f>C$31*C$28*C$32/C$27/(C$30-E$29)/1000</f>
        <v>7916.258607097544</v>
      </c>
      <c r="G29" s="7">
        <f t="shared" si="2"/>
        <v>44224.908419539133</v>
      </c>
    </row>
    <row r="30" spans="1:7" ht="16.5" x14ac:dyDescent="0.45">
      <c r="A30" s="4" t="s">
        <v>0</v>
      </c>
      <c r="B30" s="8" t="s">
        <v>73</v>
      </c>
      <c r="C30" s="5">
        <v>0.52600000000000002</v>
      </c>
      <c r="D30" s="5">
        <v>2E-3</v>
      </c>
      <c r="E30" s="7">
        <f t="shared" si="0"/>
        <v>0.52800000000000002</v>
      </c>
      <c r="F30" s="7">
        <f>C$31*C$28*C$32/C$27/(E$30-C$29)/1000</f>
        <v>7785.0499009025561</v>
      </c>
      <c r="G30" s="7">
        <f t="shared" si="2"/>
        <v>-43491.898887724346</v>
      </c>
    </row>
    <row r="31" spans="1:7" ht="17.5" x14ac:dyDescent="0.45">
      <c r="A31" s="4" t="s">
        <v>75</v>
      </c>
      <c r="B31" s="8" t="s">
        <v>74</v>
      </c>
      <c r="C31" s="5">
        <v>1000</v>
      </c>
      <c r="D31" s="5" t="s">
        <v>61</v>
      </c>
      <c r="E31" s="7">
        <f>C31</f>
        <v>1000</v>
      </c>
      <c r="F31" s="7">
        <f>E$31*C$28*C$32/C$27/(C$30-C$29)/1000</f>
        <v>7872.0336986780048</v>
      </c>
      <c r="G31" s="7" t="e">
        <f t="shared" si="2"/>
        <v>#VALUE!</v>
      </c>
    </row>
    <row r="32" spans="1:7" ht="16.5" x14ac:dyDescent="0.35">
      <c r="A32" s="4" t="s">
        <v>76</v>
      </c>
      <c r="B32" s="8" t="s">
        <v>11</v>
      </c>
      <c r="C32" s="5">
        <v>9.8000000000000007</v>
      </c>
      <c r="D32" s="5" t="s">
        <v>61</v>
      </c>
      <c r="E32" s="7">
        <f>C32</f>
        <v>9.8000000000000007</v>
      </c>
      <c r="F32" s="7">
        <f>C$31*C$28*E$32/C$27/(C$30-C$29)/1000</f>
        <v>7872.0336986780048</v>
      </c>
      <c r="G32" s="7" t="e">
        <f t="shared" si="2"/>
        <v>#VALUE!</v>
      </c>
    </row>
    <row r="33" spans="1:8" x14ac:dyDescent="0.35">
      <c r="B33" s="8"/>
      <c r="C33" s="5"/>
      <c r="D33" s="5"/>
      <c r="E33" s="7"/>
      <c r="F33" s="7"/>
      <c r="G33" s="7"/>
    </row>
    <row r="34" spans="1:8" ht="17.5" x14ac:dyDescent="0.45">
      <c r="B34" s="8" t="s">
        <v>83</v>
      </c>
      <c r="C34" s="22">
        <f>SQRT((G28*D28)^2+(G29*D29)^2+(G27*D27)^2+(G30*D30)^2)</f>
        <v>359.47515073282415</v>
      </c>
      <c r="D34" s="4" t="s">
        <v>75</v>
      </c>
      <c r="E34" s="7"/>
      <c r="F34" s="7"/>
      <c r="G34" s="7"/>
    </row>
    <row r="35" spans="1:8" ht="17.5" x14ac:dyDescent="0.45">
      <c r="B35" s="2" t="s">
        <v>84</v>
      </c>
      <c r="C35" s="27">
        <f>F26</f>
        <v>7872.0336986780048</v>
      </c>
      <c r="D35" s="26" t="s">
        <v>23</v>
      </c>
      <c r="E35" s="27">
        <f>C34</f>
        <v>359.47515073282415</v>
      </c>
      <c r="F35" s="4" t="s">
        <v>75</v>
      </c>
      <c r="G35" s="7"/>
    </row>
    <row r="36" spans="1:8" ht="17.5" x14ac:dyDescent="0.45">
      <c r="B36" s="2" t="s">
        <v>84</v>
      </c>
      <c r="C36" s="28">
        <f>C35</f>
        <v>7872.0336986780048</v>
      </c>
      <c r="D36" s="26" t="s">
        <v>23</v>
      </c>
      <c r="E36" s="29">
        <f>E35</f>
        <v>359.47515073282415</v>
      </c>
      <c r="F36" s="4" t="s">
        <v>75</v>
      </c>
      <c r="G36" s="7"/>
    </row>
    <row r="37" spans="1:8" ht="17.5" x14ac:dyDescent="0.45">
      <c r="A37" s="2" t="s">
        <v>84</v>
      </c>
      <c r="B37" s="6" t="s">
        <v>85</v>
      </c>
      <c r="C37" s="30">
        <v>7.9</v>
      </c>
      <c r="D37" s="26" t="s">
        <v>23</v>
      </c>
      <c r="E37" s="14">
        <v>0.4</v>
      </c>
      <c r="F37" t="s">
        <v>86</v>
      </c>
      <c r="G37" s="7" t="s">
        <v>87</v>
      </c>
      <c r="H37" s="4" t="s">
        <v>75</v>
      </c>
    </row>
    <row r="38" spans="1:8" x14ac:dyDescent="0.35">
      <c r="B38" s="8"/>
      <c r="C38" s="5"/>
      <c r="D38" s="5"/>
      <c r="E38" s="7"/>
      <c r="F38" s="7"/>
      <c r="G38" s="7"/>
    </row>
    <row r="39" spans="1:8" x14ac:dyDescent="0.35">
      <c r="B39" s="8"/>
      <c r="C39" s="5"/>
      <c r="D39" s="5"/>
    </row>
    <row r="40" spans="1:8" x14ac:dyDescent="0.35">
      <c r="B40" s="8"/>
      <c r="C40" s="5"/>
      <c r="D40" s="5"/>
    </row>
    <row r="41" spans="1:8" x14ac:dyDescent="0.35">
      <c r="B41" s="8"/>
      <c r="C41" s="5"/>
      <c r="D41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3:H42"/>
  <sheetViews>
    <sheetView workbookViewId="0">
      <selection activeCell="R27" sqref="R27"/>
    </sheetView>
  </sheetViews>
  <sheetFormatPr defaultRowHeight="14.5" x14ac:dyDescent="0.35"/>
  <sheetData>
    <row r="13" spans="2:7" x14ac:dyDescent="0.35">
      <c r="B13" s="9" t="s">
        <v>39</v>
      </c>
    </row>
    <row r="14" spans="2:7" x14ac:dyDescent="0.35">
      <c r="F14" s="24" t="s">
        <v>78</v>
      </c>
    </row>
    <row r="15" spans="2:7" ht="16.5" x14ac:dyDescent="0.45">
      <c r="C15" s="3" t="s">
        <v>40</v>
      </c>
      <c r="D15" s="3" t="s">
        <v>42</v>
      </c>
      <c r="E15" s="3" t="s">
        <v>41</v>
      </c>
      <c r="F15" s="8" t="s">
        <v>77</v>
      </c>
      <c r="G15" s="8" t="s">
        <v>79</v>
      </c>
    </row>
    <row r="16" spans="2:7" x14ac:dyDescent="0.35">
      <c r="C16" s="3"/>
      <c r="D16" s="3"/>
      <c r="E16" s="7"/>
      <c r="F16" s="23">
        <f>(2*PI()/C$19)^2*(C$17+C$18/3)/1000</f>
        <v>0.11906657482206665</v>
      </c>
    </row>
    <row r="17" spans="1:8" ht="16.5" x14ac:dyDescent="0.45">
      <c r="A17" s="4" t="s">
        <v>11</v>
      </c>
      <c r="B17" s="8" t="s">
        <v>70</v>
      </c>
      <c r="C17" s="5">
        <v>17.12</v>
      </c>
      <c r="D17" s="5">
        <v>0.05</v>
      </c>
      <c r="E17" s="7">
        <f>C17+D17</f>
        <v>17.170000000000002</v>
      </c>
      <c r="F17" s="7">
        <f>(2*PI()/C$19)^2*(E$17+C$18/3)/1000</f>
        <v>0.11929339710074721</v>
      </c>
      <c r="G17" s="7">
        <f>(F17-$F$16)/D17</f>
        <v>4.5364455736113252E-3</v>
      </c>
    </row>
    <row r="18" spans="1:8" ht="16.5" x14ac:dyDescent="0.45">
      <c r="A18" s="4" t="s">
        <v>11</v>
      </c>
      <c r="B18" s="8" t="s">
        <v>71</v>
      </c>
      <c r="C18" s="5">
        <v>27.38</v>
      </c>
      <c r="D18" s="5">
        <v>0.05</v>
      </c>
      <c r="E18" s="7">
        <f t="shared" ref="E18:E31" si="0">C18+D18</f>
        <v>27.43</v>
      </c>
      <c r="F18" s="7">
        <f>(2*PI()/C$19)^2*(C$17+E$18/3)/1000</f>
        <v>0.1191421822482935</v>
      </c>
      <c r="G18" s="7">
        <f t="shared" ref="G18:G19" si="1">(F18-$F$16)/D18</f>
        <v>1.5121485245370159E-3</v>
      </c>
    </row>
    <row r="19" spans="1:8" x14ac:dyDescent="0.35">
      <c r="A19" s="4" t="s">
        <v>1</v>
      </c>
      <c r="B19" s="8" t="s">
        <v>6</v>
      </c>
      <c r="C19" s="5">
        <v>2.95</v>
      </c>
      <c r="D19" s="5">
        <v>7.0000000000000007E-2</v>
      </c>
      <c r="E19" s="7">
        <f t="shared" si="0"/>
        <v>3.02</v>
      </c>
      <c r="F19" s="7">
        <f>(2*PI()/E$19)^2*(C$17+C$18/3)/1000</f>
        <v>0.11361090164784819</v>
      </c>
      <c r="G19" s="7">
        <f t="shared" si="1"/>
        <v>-7.7938188203120748E-2</v>
      </c>
    </row>
    <row r="20" spans="1:8" x14ac:dyDescent="0.35">
      <c r="A20" s="4"/>
      <c r="B20" s="8"/>
      <c r="C20" s="5"/>
      <c r="D20" s="5"/>
      <c r="E20" s="7"/>
      <c r="F20" s="7"/>
      <c r="G20" s="7"/>
    </row>
    <row r="21" spans="1:8" ht="16.5" x14ac:dyDescent="0.45">
      <c r="A21" s="4"/>
      <c r="B21" s="8" t="s">
        <v>80</v>
      </c>
      <c r="C21" s="22">
        <f>SQRT((G18*D18)^2+(G19*D19)^2+(G17*D17)^2)</f>
        <v>5.4609096873042438E-3</v>
      </c>
      <c r="D21" s="24" t="s">
        <v>78</v>
      </c>
      <c r="E21" s="7"/>
      <c r="F21" s="7"/>
      <c r="G21" s="7"/>
    </row>
    <row r="22" spans="1:8" x14ac:dyDescent="0.35">
      <c r="A22" s="4"/>
      <c r="B22" s="2" t="s">
        <v>81</v>
      </c>
      <c r="C22" s="13">
        <f>F16</f>
        <v>0.11906657482206665</v>
      </c>
      <c r="D22" s="26" t="s">
        <v>23</v>
      </c>
      <c r="E22" s="13">
        <f>C21</f>
        <v>5.4609096873042438E-3</v>
      </c>
      <c r="F22" s="24" t="s">
        <v>78</v>
      </c>
      <c r="G22" s="7"/>
    </row>
    <row r="23" spans="1:8" x14ac:dyDescent="0.35">
      <c r="A23" s="4"/>
      <c r="B23" s="8"/>
      <c r="C23" s="5"/>
      <c r="D23" s="5"/>
      <c r="E23" s="7"/>
      <c r="F23" s="7"/>
      <c r="G23" s="7"/>
    </row>
    <row r="24" spans="1:8" ht="16.5" x14ac:dyDescent="0.35">
      <c r="A24" s="4"/>
      <c r="B24" s="8"/>
      <c r="C24" s="5"/>
      <c r="D24" s="5"/>
      <c r="F24" s="24" t="s">
        <v>78</v>
      </c>
      <c r="G24" s="4" t="s">
        <v>75</v>
      </c>
      <c r="H24" s="7"/>
    </row>
    <row r="25" spans="1:8" ht="16.5" x14ac:dyDescent="0.45">
      <c r="A25" s="4"/>
      <c r="B25" s="8"/>
      <c r="C25" s="3" t="s">
        <v>40</v>
      </c>
      <c r="D25" s="3" t="s">
        <v>42</v>
      </c>
      <c r="E25" s="3" t="s">
        <v>41</v>
      </c>
      <c r="F25" s="8" t="s">
        <v>77</v>
      </c>
      <c r="G25" s="15" t="s">
        <v>82</v>
      </c>
      <c r="H25" s="8" t="s">
        <v>101</v>
      </c>
    </row>
    <row r="26" spans="1:8" x14ac:dyDescent="0.35">
      <c r="A26" s="4"/>
      <c r="B26" s="8"/>
      <c r="C26" s="5"/>
      <c r="D26" s="5"/>
      <c r="E26" s="7"/>
      <c r="F26" s="23">
        <f>(2*PI()/C$29)^2*(C$27+C$28/3)/1000</f>
        <v>0.11906657482206665</v>
      </c>
      <c r="G26" s="23">
        <f>C$32*C$27*C$33/F$26/(C$31-C$30)/1000</f>
        <v>7872.0336986780048</v>
      </c>
      <c r="H26" s="7"/>
    </row>
    <row r="27" spans="1:8" ht="16.5" x14ac:dyDescent="0.45">
      <c r="A27" s="4" t="s">
        <v>11</v>
      </c>
      <c r="B27" s="8" t="s">
        <v>70</v>
      </c>
      <c r="C27" s="5">
        <v>17.12</v>
      </c>
      <c r="D27" s="5">
        <v>0.05</v>
      </c>
      <c r="E27" s="7">
        <f>C27+D27</f>
        <v>17.170000000000002</v>
      </c>
      <c r="F27" s="7">
        <f>(2*PI()/C$29)^2*(E$27+C$28/3)/1000</f>
        <v>0.11929339710074721</v>
      </c>
      <c r="G27" s="7">
        <f>C$32*E$27*C$33/F$27/(C$31-C$30)/1000</f>
        <v>7880.0129965213664</v>
      </c>
      <c r="H27" s="7">
        <f>(G27-$G$26)/D27</f>
        <v>159.58595686723129</v>
      </c>
    </row>
    <row r="28" spans="1:8" ht="16.5" x14ac:dyDescent="0.45">
      <c r="A28" s="4" t="s">
        <v>11</v>
      </c>
      <c r="B28" s="8" t="s">
        <v>71</v>
      </c>
      <c r="C28" s="5">
        <v>27.38</v>
      </c>
      <c r="D28" s="5">
        <v>0.05</v>
      </c>
      <c r="E28" s="7">
        <f t="shared" ref="E28:E29" si="2">C28+D28</f>
        <v>27.43</v>
      </c>
      <c r="F28" s="7">
        <f>(2*PI()/C$29)^2*(C$27+E$28/3)/1000</f>
        <v>0.1191421822482935</v>
      </c>
      <c r="G28" s="7">
        <f>C$32*C$27*C$33/F$28/(C$31-C$30)/1000</f>
        <v>7867.0381194809761</v>
      </c>
      <c r="H28" s="7">
        <f t="shared" ref="H28:H33" si="3">(G28-$G$26)/D28</f>
        <v>-99.911583940574928</v>
      </c>
    </row>
    <row r="29" spans="1:8" x14ac:dyDescent="0.35">
      <c r="A29" s="4" t="s">
        <v>1</v>
      </c>
      <c r="B29" s="8" t="s">
        <v>6</v>
      </c>
      <c r="C29" s="5">
        <v>2.95</v>
      </c>
      <c r="D29" s="5">
        <v>7.0000000000000007E-2</v>
      </c>
      <c r="E29" s="7">
        <f t="shared" si="2"/>
        <v>3.02</v>
      </c>
      <c r="F29" s="7">
        <f>(2*PI()/E$29)^2*(C$27+C$28/3)/1000</f>
        <v>0.11361090164784819</v>
      </c>
      <c r="G29" s="7">
        <f>C$32*C$27*C$33/F$29/(C$31-C$30)/1000</f>
        <v>8250.0541390890994</v>
      </c>
      <c r="H29" s="7">
        <f t="shared" si="3"/>
        <v>5400.2920058727786</v>
      </c>
    </row>
    <row r="30" spans="1:8" ht="16.5" x14ac:dyDescent="0.45">
      <c r="A30" s="4" t="s">
        <v>0</v>
      </c>
      <c r="B30" s="8" t="s">
        <v>72</v>
      </c>
      <c r="C30" s="5">
        <v>0.34699999999999998</v>
      </c>
      <c r="D30" s="5">
        <v>1E-3</v>
      </c>
      <c r="E30" s="7">
        <f t="shared" si="0"/>
        <v>0.34799999999999998</v>
      </c>
      <c r="F30" s="7">
        <f t="shared" ref="F30:F33" si="4">(2*PI()/C$29)^2*(C$27+C$28/3)/1000</f>
        <v>0.11906657482206665</v>
      </c>
      <c r="G30" s="7">
        <f>C$32*C$27*C$33/F$30/(C$31-E$30)/1000</f>
        <v>7916.258607097544</v>
      </c>
      <c r="H30" s="7">
        <f t="shared" si="3"/>
        <v>44224.908419539133</v>
      </c>
    </row>
    <row r="31" spans="1:8" ht="16.5" x14ac:dyDescent="0.45">
      <c r="A31" s="4" t="s">
        <v>0</v>
      </c>
      <c r="B31" s="8" t="s">
        <v>73</v>
      </c>
      <c r="C31" s="5">
        <v>0.52600000000000002</v>
      </c>
      <c r="D31" s="5">
        <v>2E-3</v>
      </c>
      <c r="E31" s="7">
        <f t="shared" si="0"/>
        <v>0.52800000000000002</v>
      </c>
      <c r="F31" s="7">
        <f t="shared" si="4"/>
        <v>0.11906657482206665</v>
      </c>
      <c r="G31" s="7">
        <f>C$32*C$27*C$33/F$31/(E$31-C$30)/1000</f>
        <v>7785.0499009025561</v>
      </c>
      <c r="H31" s="7">
        <f t="shared" si="3"/>
        <v>-43491.898887724346</v>
      </c>
    </row>
    <row r="32" spans="1:8" ht="17.5" x14ac:dyDescent="0.45">
      <c r="A32" s="4" t="s">
        <v>75</v>
      </c>
      <c r="B32" s="8" t="s">
        <v>74</v>
      </c>
      <c r="C32" s="5">
        <v>1000</v>
      </c>
      <c r="D32" s="5" t="s">
        <v>61</v>
      </c>
      <c r="E32" s="7">
        <f>C32</f>
        <v>1000</v>
      </c>
      <c r="F32" s="7">
        <f t="shared" si="4"/>
        <v>0.11906657482206665</v>
      </c>
      <c r="G32" s="7">
        <f>E$32*C$27*C$33/F$32/(C$31-C$30)/1000</f>
        <v>7872.0336986780048</v>
      </c>
      <c r="H32" s="7" t="e">
        <f t="shared" si="3"/>
        <v>#VALUE!</v>
      </c>
    </row>
    <row r="33" spans="1:8" ht="16.5" x14ac:dyDescent="0.35">
      <c r="A33" s="4" t="s">
        <v>76</v>
      </c>
      <c r="B33" s="8" t="s">
        <v>11</v>
      </c>
      <c r="C33" s="5">
        <v>9.8000000000000007</v>
      </c>
      <c r="D33" s="5" t="s">
        <v>61</v>
      </c>
      <c r="E33" s="7">
        <f>C33</f>
        <v>9.8000000000000007</v>
      </c>
      <c r="F33" s="7">
        <f t="shared" si="4"/>
        <v>0.11906657482206665</v>
      </c>
      <c r="G33" s="7">
        <f>C$32*C$27*E$33/F$33/(C$31-C$30)/1000</f>
        <v>7872.0336986780048</v>
      </c>
      <c r="H33" s="7" t="e">
        <f t="shared" si="3"/>
        <v>#VALUE!</v>
      </c>
    </row>
    <row r="34" spans="1:8" x14ac:dyDescent="0.35">
      <c r="B34" s="8"/>
      <c r="C34" s="5"/>
      <c r="D34" s="5"/>
      <c r="E34" s="7"/>
      <c r="F34" s="7"/>
      <c r="G34" s="7"/>
    </row>
    <row r="35" spans="1:8" ht="17.5" x14ac:dyDescent="0.45">
      <c r="B35" s="8" t="s">
        <v>83</v>
      </c>
      <c r="C35" s="22">
        <f>SQRT((H27*D27)^2+(H28*D28)^2+(H30*D30)^2+(H29*D29)^2+(H31*D31)^2)</f>
        <v>390.52541783389921</v>
      </c>
      <c r="D35" s="4" t="s">
        <v>75</v>
      </c>
      <c r="E35" s="7"/>
      <c r="F35" s="7"/>
      <c r="G35" s="7"/>
    </row>
    <row r="36" spans="1:8" ht="17.5" x14ac:dyDescent="0.45">
      <c r="B36" s="2" t="s">
        <v>84</v>
      </c>
      <c r="C36" s="27">
        <f>G26</f>
        <v>7872.0336986780048</v>
      </c>
      <c r="D36" s="26" t="s">
        <v>23</v>
      </c>
      <c r="E36" s="27">
        <f>C35</f>
        <v>390.52541783389921</v>
      </c>
      <c r="F36" s="4" t="s">
        <v>75</v>
      </c>
      <c r="G36" s="7"/>
    </row>
    <row r="37" spans="1:8" ht="17.5" x14ac:dyDescent="0.45">
      <c r="B37" s="2" t="s">
        <v>84</v>
      </c>
      <c r="C37" s="28">
        <f>C36</f>
        <v>7872.0336986780048</v>
      </c>
      <c r="D37" s="26" t="s">
        <v>23</v>
      </c>
      <c r="E37" s="29">
        <f>E36</f>
        <v>390.52541783389921</v>
      </c>
      <c r="F37" s="4" t="s">
        <v>75</v>
      </c>
      <c r="G37" s="7"/>
    </row>
    <row r="38" spans="1:8" ht="17.5" x14ac:dyDescent="0.45">
      <c r="A38" s="2" t="s">
        <v>84</v>
      </c>
      <c r="B38" s="6" t="s">
        <v>85</v>
      </c>
      <c r="C38" s="30">
        <v>7.9</v>
      </c>
      <c r="D38" s="26" t="s">
        <v>23</v>
      </c>
      <c r="E38" s="14">
        <v>0.4</v>
      </c>
      <c r="F38" t="s">
        <v>86</v>
      </c>
      <c r="G38" s="7" t="s">
        <v>87</v>
      </c>
      <c r="H38" s="4" t="s">
        <v>75</v>
      </c>
    </row>
    <row r="39" spans="1:8" x14ac:dyDescent="0.35">
      <c r="B39" s="8"/>
      <c r="C39" s="5"/>
      <c r="D39" s="5"/>
      <c r="E39" s="7"/>
      <c r="F39" s="7"/>
      <c r="G39" s="7"/>
    </row>
    <row r="40" spans="1:8" x14ac:dyDescent="0.35">
      <c r="B40" s="8"/>
      <c r="C40" s="5"/>
      <c r="D40" s="5"/>
    </row>
    <row r="41" spans="1:8" x14ac:dyDescent="0.35">
      <c r="B41" s="8"/>
      <c r="C41" s="5"/>
      <c r="D41" s="5"/>
    </row>
    <row r="42" spans="1:8" x14ac:dyDescent="0.35">
      <c r="B42" s="8"/>
      <c r="C42" s="5"/>
      <c r="D42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>
      <selection activeCell="B15" sqref="B15"/>
    </sheetView>
  </sheetViews>
  <sheetFormatPr defaultRowHeight="14.5" x14ac:dyDescent="0.35"/>
  <sheetData>
    <row r="2" spans="2:6" x14ac:dyDescent="0.35">
      <c r="C2" s="3" t="s">
        <v>40</v>
      </c>
      <c r="D2" s="3" t="s">
        <v>91</v>
      </c>
    </row>
    <row r="3" spans="2:6" x14ac:dyDescent="0.35">
      <c r="B3" s="2" t="s">
        <v>88</v>
      </c>
      <c r="C3" s="18">
        <v>6.5679999999999996</v>
      </c>
      <c r="D3" s="18">
        <v>5.9999999999999995E-4</v>
      </c>
      <c r="E3" s="10" t="s">
        <v>0</v>
      </c>
    </row>
    <row r="4" spans="2:6" x14ac:dyDescent="0.35">
      <c r="B4" s="2" t="s">
        <v>89</v>
      </c>
      <c r="C4" s="18">
        <v>5.3139000000000003</v>
      </c>
      <c r="D4" s="18">
        <v>5.9999999999999995E-4</v>
      </c>
      <c r="E4" s="10" t="s">
        <v>0</v>
      </c>
    </row>
    <row r="5" spans="2:6" x14ac:dyDescent="0.35">
      <c r="B5" s="6" t="s">
        <v>90</v>
      </c>
      <c r="C5" s="18">
        <v>2.6627000000000001</v>
      </c>
      <c r="D5" s="18">
        <v>5.9999999999999995E-4</v>
      </c>
      <c r="E5" s="10" t="s">
        <v>0</v>
      </c>
    </row>
    <row r="6" spans="2:6" ht="16.5" x14ac:dyDescent="0.35">
      <c r="B6" s="6" t="s">
        <v>93</v>
      </c>
      <c r="C6" s="21">
        <f>C3*C4*C5</f>
        <v>92.932743809040005</v>
      </c>
      <c r="D6" s="21">
        <f>C6*SQRT((D3/C3)^2+(D4/C4)^2+(D5/C5)^2)</f>
        <v>2.4913971260470031E-2</v>
      </c>
      <c r="E6" s="10" t="s">
        <v>92</v>
      </c>
    </row>
    <row r="8" spans="2:6" ht="16.5" x14ac:dyDescent="0.35">
      <c r="B8" s="2" t="s">
        <v>94</v>
      </c>
      <c r="C8" s="12">
        <f>C6</f>
        <v>92.932743809040005</v>
      </c>
      <c r="D8" s="26" t="s">
        <v>23</v>
      </c>
      <c r="E8" s="12">
        <f>D6</f>
        <v>2.4913971260470031E-2</v>
      </c>
      <c r="F8" s="10" t="s">
        <v>92</v>
      </c>
    </row>
    <row r="10" spans="2:6" x14ac:dyDescent="0.35">
      <c r="B10" s="16" t="s">
        <v>95</v>
      </c>
    </row>
    <row r="11" spans="2:6" x14ac:dyDescent="0.35">
      <c r="B11" t="s">
        <v>96</v>
      </c>
    </row>
    <row r="12" spans="2:6" x14ac:dyDescent="0.35">
      <c r="B12" t="s">
        <v>97</v>
      </c>
    </row>
    <row r="13" spans="2:6" x14ac:dyDescent="0.35">
      <c r="B13" t="s">
        <v>98</v>
      </c>
    </row>
    <row r="14" spans="2:6" x14ac:dyDescent="0.35">
      <c r="B14" t="s">
        <v>99</v>
      </c>
    </row>
    <row r="15" spans="2:6" x14ac:dyDescent="0.35">
      <c r="B15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1fc94e-6345-4919-8801-cb2453a971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F21B70640A2E45B73D6603D386F931" ma:contentTypeVersion="14" ma:contentTypeDescription="Criar um novo documento." ma:contentTypeScope="" ma:versionID="cb8e284076328c6c06c9c918404effe8">
  <xsd:schema xmlns:xsd="http://www.w3.org/2001/XMLSchema" xmlns:xs="http://www.w3.org/2001/XMLSchema" xmlns:p="http://schemas.microsoft.com/office/2006/metadata/properties" xmlns:ns3="b81fc94e-6345-4919-8801-cb2453a9716a" xmlns:ns4="7c284bd3-9d49-4966-bb9a-4f9a50667e8c" targetNamespace="http://schemas.microsoft.com/office/2006/metadata/properties" ma:root="true" ma:fieldsID="aa5d50224a109e2156ea85e3c4f35d50" ns3:_="" ns4:_="">
    <xsd:import namespace="b81fc94e-6345-4919-8801-cb2453a9716a"/>
    <xsd:import namespace="7c284bd3-9d49-4966-bb9a-4f9a50667e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fc94e-6345-4919-8801-cb2453a97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84bd3-9d49-4966-bb9a-4f9a50667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1BBC7B-91CF-483F-9887-A25F684AE4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F64E56-8898-4AFC-B0A0-756E280A02C0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b81fc94e-6345-4919-8801-cb2453a9716a"/>
    <ds:schemaRef ds:uri="http://schemas.openxmlformats.org/package/2006/metadata/core-properties"/>
    <ds:schemaRef ds:uri="7c284bd3-9d49-4966-bb9a-4f9a50667e8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EBCE922-31FE-4791-8C1C-5CBC4FF55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fc94e-6345-4919-8801-cb2453a9716a"/>
    <ds:schemaRef ds:uri="7c284bd3-9d49-4966-bb9a-4f9a50667e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Prob_1</vt:lpstr>
      <vt:lpstr>Prob_2</vt:lpstr>
      <vt:lpstr>Prob_3</vt:lpstr>
      <vt:lpstr>Prob_4</vt:lpstr>
      <vt:lpstr>Prob_5</vt:lpstr>
      <vt:lpstr>Prob_6_bug</vt:lpstr>
      <vt:lpstr>Prob_6_correto</vt:lpstr>
      <vt:lpstr>Prob_7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</dc:creator>
  <cp:lastModifiedBy>Vicente</cp:lastModifiedBy>
  <dcterms:created xsi:type="dcterms:W3CDTF">2023-10-22T10:10:31Z</dcterms:created>
  <dcterms:modified xsi:type="dcterms:W3CDTF">2023-11-29T13:13:15Z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0x010100F1F21B70640A2E45B73D6603D386F931</vt:lpwstr>
  </property>
</Properties>
</file>