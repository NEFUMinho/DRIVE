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ente\OneDrive - Universidade do Minho\Documentos\Alunos\2324\IFE\Aulas_T\Aula_10_21-novembro_Ajuste linear\"/>
    </mc:Choice>
  </mc:AlternateContent>
  <bookViews>
    <workbookView xWindow="0" yWindow="0" windowWidth="20980" windowHeight="17560"/>
  </bookViews>
  <sheets>
    <sheet name="Prob_1" sheetId="1" r:id="rId1"/>
    <sheet name="Prob_2" sheetId="2" r:id="rId2"/>
    <sheet name="Prob_3" sheetId="3" r:id="rId3"/>
    <sheet name="Prob_4" sheetId="4" r:id="rId4"/>
    <sheet name="Prob_5" sheetId="5" r:id="rId5"/>
    <sheet name="Prob_6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9" l="1"/>
  <c r="D48" i="9"/>
  <c r="C47" i="9"/>
  <c r="C49" i="9"/>
  <c r="C53" i="9"/>
  <c r="D50" i="9"/>
  <c r="C50" i="9"/>
  <c r="D51" i="9"/>
  <c r="C51" i="9"/>
  <c r="D39" i="9"/>
  <c r="C39" i="9"/>
  <c r="D38" i="9"/>
  <c r="C38" i="9"/>
  <c r="C17" i="9" a="1"/>
  <c r="C17" i="9" s="1"/>
  <c r="D27" i="5"/>
  <c r="D26" i="5"/>
  <c r="C27" i="5"/>
  <c r="C26" i="5"/>
  <c r="D24" i="5"/>
  <c r="C24" i="5"/>
  <c r="D21" i="5"/>
  <c r="C21" i="5"/>
  <c r="C13" i="5" a="1"/>
  <c r="D13" i="5" s="1"/>
  <c r="C13" i="5"/>
  <c r="D14" i="5"/>
  <c r="C15" i="5"/>
  <c r="D16" i="5"/>
  <c r="C17" i="5"/>
  <c r="C7" i="5"/>
  <c r="C8" i="5"/>
  <c r="C9" i="5"/>
  <c r="C10" i="5"/>
  <c r="C11" i="5"/>
  <c r="C6" i="5"/>
  <c r="E51" i="4"/>
  <c r="D51" i="4"/>
  <c r="E49" i="4"/>
  <c r="D49" i="4"/>
  <c r="E48" i="4"/>
  <c r="D48" i="4"/>
  <c r="E47" i="4"/>
  <c r="D47" i="4"/>
  <c r="C29" i="4" a="1"/>
  <c r="C29" i="4" s="1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C80" i="3"/>
  <c r="D76" i="3"/>
  <c r="D80" i="3" s="1"/>
  <c r="D66" i="3"/>
  <c r="C48" i="3"/>
  <c r="D20" i="9" l="1"/>
  <c r="D18" i="9"/>
  <c r="C20" i="9"/>
  <c r="C18" i="9"/>
  <c r="D21" i="9"/>
  <c r="D19" i="9"/>
  <c r="D17" i="9"/>
  <c r="C21" i="9"/>
  <c r="C19" i="9"/>
  <c r="C16" i="5"/>
  <c r="C14" i="5"/>
  <c r="D17" i="5"/>
  <c r="D15" i="5"/>
  <c r="D32" i="4"/>
  <c r="D30" i="4"/>
  <c r="C32" i="4"/>
  <c r="C30" i="4"/>
  <c r="D33" i="4"/>
  <c r="D31" i="4"/>
  <c r="D29" i="4"/>
  <c r="C33" i="4"/>
  <c r="C31" i="4"/>
  <c r="D38" i="3"/>
  <c r="D48" i="3" s="1"/>
  <c r="E48" i="3" s="1"/>
  <c r="C18" i="3" l="1" a="1"/>
  <c r="D18" i="3" s="1"/>
  <c r="D21" i="3" l="1"/>
  <c r="C20" i="3"/>
  <c r="D19" i="3"/>
  <c r="C22" i="3"/>
  <c r="C18" i="3"/>
  <c r="C24" i="3" s="1"/>
  <c r="C75" i="3" s="1"/>
  <c r="C21" i="3"/>
  <c r="C19" i="3"/>
  <c r="E24" i="3" s="1"/>
  <c r="D22" i="3"/>
  <c r="D20" i="3"/>
  <c r="D65" i="3" l="1"/>
  <c r="D75" i="3"/>
  <c r="C79" i="3"/>
  <c r="C81" i="3" s="1"/>
  <c r="C83" i="3" s="1"/>
  <c r="C37" i="3"/>
  <c r="C65" i="3"/>
  <c r="C68" i="3" s="1"/>
  <c r="C70" i="3" s="1"/>
  <c r="E37" i="3"/>
  <c r="D37" i="3"/>
  <c r="D47" i="3" s="1"/>
  <c r="D79" i="3" l="1"/>
  <c r="D81" i="3" s="1"/>
  <c r="E83" i="3" s="1"/>
  <c r="E75" i="3"/>
  <c r="D68" i="3"/>
  <c r="E70" i="3" s="1"/>
  <c r="E65" i="3"/>
  <c r="C40" i="3"/>
  <c r="E40" i="3" s="1"/>
  <c r="C47" i="3"/>
  <c r="E47" i="3" l="1"/>
  <c r="F47" i="3" s="1"/>
  <c r="F46" i="3"/>
  <c r="F48" i="3"/>
  <c r="G48" i="3" s="1"/>
  <c r="G47" i="3" l="1"/>
  <c r="C50" i="3" s="1"/>
  <c r="C12" i="2" l="1" a="1"/>
  <c r="D13" i="2" s="1"/>
  <c r="C15" i="2" l="1"/>
  <c r="C13" i="2"/>
  <c r="D16" i="2"/>
  <c r="D14" i="2"/>
  <c r="D12" i="2"/>
  <c r="C16" i="2"/>
  <c r="C14" i="2"/>
  <c r="C12" i="2"/>
  <c r="D15" i="2"/>
  <c r="C25" i="1"/>
  <c r="C24" i="1"/>
  <c r="C23" i="1"/>
  <c r="C13" i="1" a="1"/>
  <c r="D14" i="1" s="1"/>
  <c r="C16" i="1" l="1"/>
  <c r="C14" i="1"/>
  <c r="D17" i="1"/>
  <c r="D15" i="1"/>
  <c r="D13" i="1"/>
  <c r="C17" i="1"/>
  <c r="C15" i="1"/>
  <c r="C13" i="1"/>
  <c r="D16" i="1"/>
</calcChain>
</file>

<file path=xl/sharedStrings.xml><?xml version="1.0" encoding="utf-8"?>
<sst xmlns="http://schemas.openxmlformats.org/spreadsheetml/2006/main" count="180" uniqueCount="92">
  <si>
    <t>g</t>
  </si>
  <si>
    <t>a)</t>
  </si>
  <si>
    <t>b)</t>
  </si>
  <si>
    <t>valor</t>
  </si>
  <si>
    <t>mA</t>
  </si>
  <si>
    <t>inc.padr.</t>
  </si>
  <si>
    <t>N</t>
  </si>
  <si>
    <t>L</t>
  </si>
  <si>
    <t>h</t>
  </si>
  <si>
    <t>km</t>
  </si>
  <si>
    <r>
      <t>m/s</t>
    </r>
    <r>
      <rPr>
        <vertAlign val="superscript"/>
        <sz val="11"/>
        <color rgb="FF008000"/>
        <rFont val="Calibri"/>
        <family val="2"/>
        <scheme val="minor"/>
      </rPr>
      <t>2</t>
    </r>
  </si>
  <si>
    <t>declive</t>
  </si>
  <si>
    <r>
      <t>s</t>
    </r>
    <r>
      <rPr>
        <vertAlign val="subscript"/>
        <sz val="11"/>
        <color theme="1"/>
        <rFont val="Calibri"/>
        <family val="2"/>
        <scheme val="minor"/>
      </rPr>
      <t>declive</t>
    </r>
  </si>
  <si>
    <t>ord. origem</t>
  </si>
  <si>
    <r>
      <t>s</t>
    </r>
    <r>
      <rPr>
        <vertAlign val="subscript"/>
        <sz val="11"/>
        <color theme="1"/>
        <rFont val="Calibri"/>
        <family val="2"/>
        <scheme val="minor"/>
      </rPr>
      <t>ord.origem</t>
    </r>
  </si>
  <si>
    <r>
      <t>s</t>
    </r>
    <r>
      <rPr>
        <vertAlign val="subscript"/>
        <sz val="11"/>
        <color theme="1"/>
        <rFont val="Calibri"/>
        <family val="2"/>
        <scheme val="minor"/>
      </rPr>
      <t>y_pontos</t>
    </r>
  </si>
  <si>
    <r>
      <t>h</t>
    </r>
    <r>
      <rPr>
        <vertAlign val="subscript"/>
        <sz val="11"/>
        <color theme="1"/>
        <rFont val="Calibri"/>
        <family val="2"/>
        <scheme val="minor"/>
      </rPr>
      <t>Braga</t>
    </r>
  </si>
  <si>
    <t>m</t>
  </si>
  <si>
    <r>
      <t>g</t>
    </r>
    <r>
      <rPr>
        <vertAlign val="subscript"/>
        <sz val="11"/>
        <color theme="1"/>
        <rFont val="Calibri"/>
        <family val="2"/>
        <scheme val="minor"/>
      </rPr>
      <t>Braga</t>
    </r>
  </si>
  <si>
    <r>
      <t>u</t>
    </r>
    <r>
      <rPr>
        <vertAlign val="subscript"/>
        <sz val="11"/>
        <color theme="1"/>
        <rFont val="Calibri"/>
        <family val="2"/>
        <scheme val="minor"/>
      </rPr>
      <t>gBraga</t>
    </r>
  </si>
  <si>
    <t>cm</t>
  </si>
  <si>
    <t>EE</t>
  </si>
  <si>
    <t>ED</t>
  </si>
  <si>
    <t>EC</t>
  </si>
  <si>
    <t>EB</t>
  </si>
  <si>
    <t>EA</t>
  </si>
  <si>
    <t>Pa</t>
  </si>
  <si>
    <t>mPa</t>
  </si>
  <si>
    <t>Este problema é igual ao problema 3 da lista de problemas 4 sobre propagação de incerteza.</t>
  </si>
  <si>
    <t>da reta aos pontos experimentais.</t>
  </si>
  <si>
    <t>A única diferença é que o valor do declive e respetiva incerteza deve ser obtido a partir do ajuste</t>
  </si>
  <si>
    <t>I</t>
  </si>
  <si>
    <t>V</t>
  </si>
  <si>
    <t>U</t>
  </si>
  <si>
    <t>±</t>
  </si>
  <si>
    <t>R</t>
  </si>
  <si>
    <t>Ω</t>
  </si>
  <si>
    <t>Valor</t>
  </si>
  <si>
    <t>Inc.padr.</t>
  </si>
  <si>
    <r>
      <t>R</t>
    </r>
    <r>
      <rPr>
        <vertAlign val="subscript"/>
        <sz val="11"/>
        <color theme="1"/>
        <rFont val="Calibri"/>
        <family val="2"/>
        <scheme val="minor"/>
      </rPr>
      <t>V</t>
    </r>
  </si>
  <si>
    <r>
      <t>R</t>
    </r>
    <r>
      <rPr>
        <vertAlign val="subscript"/>
        <sz val="11"/>
        <color theme="1"/>
        <rFont val="Calibri"/>
        <family val="2"/>
        <scheme val="minor"/>
      </rPr>
      <t>declive</t>
    </r>
  </si>
  <si>
    <t>Inc.padr.
Relativa</t>
  </si>
  <si>
    <t>Método numérico:</t>
  </si>
  <si>
    <t>Inc.Padr.</t>
  </si>
  <si>
    <t>soma</t>
  </si>
  <si>
    <r>
      <t>v</t>
    </r>
    <r>
      <rPr>
        <vertAlign val="subscript"/>
        <sz val="11"/>
        <color theme="1"/>
        <rFont val="Calibri"/>
        <family val="2"/>
      </rPr>
      <t>máx</t>
    </r>
  </si>
  <si>
    <t>c</t>
  </si>
  <si>
    <r>
      <t>u</t>
    </r>
    <r>
      <rPr>
        <vertAlign val="subscript"/>
        <sz val="11"/>
        <color theme="1"/>
        <rFont val="Calibri"/>
        <family val="2"/>
      </rPr>
      <t>R</t>
    </r>
  </si>
  <si>
    <t>Método errado de resolver a alínea:</t>
  </si>
  <si>
    <t>Método analítico, usando as fórmulas dos casos particulares e evitando correlações:</t>
  </si>
  <si>
    <t>1/R</t>
  </si>
  <si>
    <t>ou:</t>
  </si>
  <si>
    <r>
      <t>1/R</t>
    </r>
    <r>
      <rPr>
        <vertAlign val="subscript"/>
        <sz val="11"/>
        <color theme="1"/>
        <rFont val="Calibri"/>
        <family val="2"/>
        <scheme val="minor"/>
      </rPr>
      <t>declive</t>
    </r>
  </si>
  <si>
    <r>
      <t>1/R</t>
    </r>
    <r>
      <rPr>
        <vertAlign val="subscript"/>
        <sz val="11"/>
        <color theme="1"/>
        <rFont val="Calibri"/>
        <family val="2"/>
        <scheme val="minor"/>
      </rPr>
      <t>V</t>
    </r>
  </si>
  <si>
    <r>
      <t>Ω</t>
    </r>
    <r>
      <rPr>
        <vertAlign val="superscript"/>
        <sz val="11"/>
        <color rgb="FF008000"/>
        <rFont val="Calibri"/>
        <family val="2"/>
      </rPr>
      <t>−1</t>
    </r>
  </si>
  <si>
    <t xml:space="preserve">g = </t>
  </si>
  <si>
    <t>Balança</t>
  </si>
  <si>
    <t>(cm)</t>
  </si>
  <si>
    <t>(g)</t>
  </si>
  <si>
    <t>(N)</t>
  </si>
  <si>
    <t>Y</t>
  </si>
  <si>
    <t>F</t>
  </si>
  <si>
    <r>
      <t>m/s</t>
    </r>
    <r>
      <rPr>
        <vertAlign val="superscript"/>
        <sz val="10"/>
        <color rgb="FF008000"/>
        <rFont val="Arial"/>
        <family val="2"/>
      </rPr>
      <t>2</t>
    </r>
  </si>
  <si>
    <t>K</t>
  </si>
  <si>
    <t>g/cm</t>
  </si>
  <si>
    <t>N/m</t>
  </si>
  <si>
    <t>kg/m</t>
  </si>
  <si>
    <t>m (kg)</t>
  </si>
  <si>
    <t>F (N)</t>
  </si>
  <si>
    <t>ΔL (mm)</t>
  </si>
  <si>
    <t>ΔL/F</t>
  </si>
  <si>
    <t>d</t>
  </si>
  <si>
    <t>A</t>
  </si>
  <si>
    <t>mm/N</t>
  </si>
  <si>
    <t>mm</t>
  </si>
  <si>
    <r>
      <t>mm</t>
    </r>
    <r>
      <rPr>
        <vertAlign val="superscript"/>
        <sz val="11"/>
        <color rgb="FF008000"/>
        <rFont val="Calibri"/>
        <family val="2"/>
        <scheme val="minor"/>
      </rPr>
      <t>2</t>
    </r>
  </si>
  <si>
    <t>E</t>
  </si>
  <si>
    <r>
      <t>N</t>
    </r>
    <r>
      <rPr>
        <sz val="11"/>
        <color rgb="FF008000"/>
        <rFont val="Calibri"/>
        <family val="2"/>
      </rPr>
      <t>·</t>
    </r>
    <r>
      <rPr>
        <sz val="11"/>
        <color rgb="FF008000"/>
        <rFont val="Calibri"/>
        <family val="2"/>
        <scheme val="minor"/>
      </rPr>
      <t>m</t>
    </r>
    <r>
      <rPr>
        <vertAlign val="superscript"/>
        <sz val="11"/>
        <color rgb="FF008000"/>
        <rFont val="Calibri"/>
        <family val="2"/>
      </rPr>
      <t>−2</t>
    </r>
  </si>
  <si>
    <t>ou</t>
  </si>
  <si>
    <t>Gpa</t>
  </si>
  <si>
    <t>Ensaio</t>
  </si>
  <si>
    <r>
      <t>h</t>
    </r>
    <r>
      <rPr>
        <vertAlign val="subscript"/>
        <sz val="10"/>
        <rFont val="Arial"/>
        <family val="2"/>
      </rPr>
      <t>queda</t>
    </r>
  </si>
  <si>
    <r>
      <t>h</t>
    </r>
    <r>
      <rPr>
        <vertAlign val="subscript"/>
        <sz val="10"/>
        <rFont val="Arial"/>
        <family val="2"/>
      </rPr>
      <t>ressalto</t>
    </r>
  </si>
  <si>
    <t>B</t>
  </si>
  <si>
    <t>C</t>
  </si>
  <si>
    <t>e</t>
  </si>
  <si>
    <t>c)</t>
  </si>
  <si>
    <t>ord.orig.</t>
  </si>
  <si>
    <r>
      <t>x</t>
    </r>
    <r>
      <rPr>
        <vertAlign val="subscript"/>
        <sz val="11"/>
        <color theme="1"/>
        <rFont val="Calibri"/>
        <family val="2"/>
        <scheme val="minor"/>
      </rPr>
      <t>médio</t>
    </r>
  </si>
  <si>
    <r>
      <t>h</t>
    </r>
    <r>
      <rPr>
        <vertAlign val="subscript"/>
        <sz val="11"/>
        <color theme="1"/>
        <rFont val="Calibri"/>
        <family val="2"/>
        <scheme val="minor"/>
      </rPr>
      <t>queda</t>
    </r>
  </si>
  <si>
    <r>
      <t>h</t>
    </r>
    <r>
      <rPr>
        <vertAlign val="subscript"/>
        <sz val="11"/>
        <color theme="1"/>
        <rFont val="Calibri"/>
        <family val="2"/>
        <scheme val="minor"/>
      </rPr>
      <t>ress_fit</t>
    </r>
  </si>
  <si>
    <r>
      <t>u</t>
    </r>
    <r>
      <rPr>
        <vertAlign val="subscript"/>
        <sz val="11"/>
        <color theme="1"/>
        <rFont val="Calibri"/>
        <family val="2"/>
        <scheme val="minor"/>
      </rPr>
      <t>Yexp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</si>
</sst>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"/>
    <numFmt numFmtId="167" formatCode="0.00000"/>
    <numFmt numFmtId="168" formatCode="0.0000"/>
    <numFmt numFmtId="171" formatCode="0.0000000"/>
  </numFmts>
  <fonts count="22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/>
      <name val="Calibri"/>
      <family val="2"/>
    </font>
    <font>
      <sz val="11"/>
      <color rgb="FF3333FF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8000"/>
      <name val="Calibri"/>
      <family val="2"/>
    </font>
    <font>
      <b/>
      <sz val="11"/>
      <color rgb="FF3333FF"/>
      <name val="Calibri"/>
      <family val="2"/>
      <scheme val="minor"/>
    </font>
    <font>
      <vertAlign val="superscript"/>
      <sz val="11"/>
      <color rgb="FF008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17"/>
      <name val="Arial"/>
      <family val="2"/>
    </font>
    <font>
      <sz val="10"/>
      <name val="Arial"/>
      <family val="2"/>
    </font>
    <font>
      <sz val="11"/>
      <color rgb="FF3333FF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rgb="FF008000"/>
      <name val="Calibri"/>
      <family val="2"/>
    </font>
    <font>
      <b/>
      <i/>
      <sz val="10"/>
      <name val="Arial"/>
      <family val="2"/>
    </font>
    <font>
      <sz val="10"/>
      <color indexed="60"/>
      <name val="Arial"/>
      <family val="2"/>
    </font>
    <font>
      <sz val="10"/>
      <color indexed="12"/>
      <name val="Arial"/>
      <family val="2"/>
    </font>
    <font>
      <vertAlign val="superscript"/>
      <sz val="10"/>
      <color rgb="FF008000"/>
      <name val="Arial"/>
      <family val="2"/>
    </font>
    <font>
      <vertAlign val="sub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9" fontId="2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10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71" fontId="4" fillId="0" borderId="0" xfId="0" applyNumberFormat="1" applyFont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1" fillId="0" borderId="0" xfId="0" applyFont="1"/>
    <xf numFmtId="1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71" fontId="4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65" fontId="18" fillId="0" borderId="4" xfId="0" applyNumberFormat="1" applyFont="1" applyBorder="1" applyAlignment="1">
      <alignment horizontal="center"/>
    </xf>
    <xf numFmtId="165" fontId="18" fillId="0" borderId="0" xfId="0" applyNumberFormat="1" applyFont="1" applyBorder="1" applyAlignment="1">
      <alignment horizontal="center"/>
    </xf>
    <xf numFmtId="164" fontId="19" fillId="0" borderId="5" xfId="0" applyNumberFormat="1" applyFont="1" applyBorder="1" applyAlignment="1">
      <alignment horizontal="center"/>
    </xf>
    <xf numFmtId="165" fontId="18" fillId="0" borderId="6" xfId="0" applyNumberFormat="1" applyFont="1" applyBorder="1" applyAlignment="1">
      <alignment horizontal="center"/>
    </xf>
    <xf numFmtId="165" fontId="18" fillId="0" borderId="7" xfId="0" applyNumberFormat="1" applyFont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</dxfs>
  <tableStyles count="0" defaultTableStyle="TableStyleMedium2" defaultPivotStyle="PivotStyleLight16"/>
  <colors>
    <mruColors>
      <color rgb="FF3333FF"/>
      <color rgb="FF0080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g(h)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Prob_1!$D$5</c:f>
              <c:strCache>
                <c:ptCount val="1"/>
                <c:pt idx="0">
                  <c:v>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Prob_1!$C$6:$C$11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Prob_1!$D$6:$D$11</c:f>
              <c:numCache>
                <c:formatCode>General</c:formatCode>
                <c:ptCount val="6"/>
                <c:pt idx="0">
                  <c:v>9.76</c:v>
                </c:pt>
                <c:pt idx="1">
                  <c:v>9.73</c:v>
                </c:pt>
                <c:pt idx="2">
                  <c:v>9.6999999999999993</c:v>
                </c:pt>
                <c:pt idx="3">
                  <c:v>9.68</c:v>
                </c:pt>
                <c:pt idx="4">
                  <c:v>9.64</c:v>
                </c:pt>
                <c:pt idx="5">
                  <c:v>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90-452B-AAE3-2EED82E10AC1}"/>
            </c:ext>
          </c:extLst>
        </c:ser>
        <c:ser>
          <c:idx val="2"/>
          <c:order val="1"/>
          <c:tx>
            <c:strRef>
              <c:f>Prob_1!$D$5</c:f>
              <c:strCache>
                <c:ptCount val="1"/>
                <c:pt idx="0">
                  <c:v>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690-452B-AAE3-2EED82E10AC1}"/>
              </c:ext>
            </c:extLst>
          </c:dPt>
          <c:xVal>
            <c:numRef>
              <c:f>Prob_1!$C$23</c:f>
              <c:numCache>
                <c:formatCode>General</c:formatCode>
                <c:ptCount val="1"/>
                <c:pt idx="0">
                  <c:v>0.2</c:v>
                </c:pt>
              </c:numCache>
            </c:numRef>
          </c:xVal>
          <c:yVal>
            <c:numRef>
              <c:f>Prob_1!$C$24</c:f>
              <c:numCache>
                <c:formatCode>0.000</c:formatCode>
                <c:ptCount val="1"/>
                <c:pt idx="0">
                  <c:v>9.7999866666666673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90-452B-AAE3-2EED82E10AC1}"/>
            </c:ext>
          </c:extLst>
        </c:ser>
        <c:ser>
          <c:idx val="0"/>
          <c:order val="2"/>
          <c:tx>
            <c:strRef>
              <c:f>Prob_1!$D$5</c:f>
              <c:strCache>
                <c:ptCount val="1"/>
                <c:pt idx="0">
                  <c:v>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backward val="10"/>
            <c:dispRSqr val="0"/>
            <c:dispEq val="1"/>
            <c:trendlineLbl>
              <c:layout>
                <c:manualLayout>
                  <c:x val="-0.30766907261592302"/>
                  <c:y val="-0.10205380577427821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Prob_1!$C$6:$C$11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Prob_1!$D$6:$D$11</c:f>
              <c:numCache>
                <c:formatCode>General</c:formatCode>
                <c:ptCount val="6"/>
                <c:pt idx="0">
                  <c:v>9.76</c:v>
                </c:pt>
                <c:pt idx="1">
                  <c:v>9.73</c:v>
                </c:pt>
                <c:pt idx="2">
                  <c:v>9.6999999999999993</c:v>
                </c:pt>
                <c:pt idx="3">
                  <c:v>9.68</c:v>
                </c:pt>
                <c:pt idx="4">
                  <c:v>9.64</c:v>
                </c:pt>
                <c:pt idx="5">
                  <c:v>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0-452B-AAE3-2EED82E10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43631"/>
        <c:axId val="1045249455"/>
      </c:scatterChart>
      <c:valAx>
        <c:axId val="104524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5249455"/>
        <c:crosses val="autoZero"/>
        <c:crossBetween val="midCat"/>
      </c:valAx>
      <c:valAx>
        <c:axId val="10452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524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Prob_2!$D$5</c:f>
              <c:strCache>
                <c:ptCount val="1"/>
                <c:pt idx="0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intercept val="0"/>
            <c:dispRSqr val="0"/>
            <c:dispEq val="1"/>
            <c:trendlineLbl>
              <c:layout>
                <c:manualLayout>
                  <c:x val="-0.40094750656167977"/>
                  <c:y val="0.23772090988626421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Prob_2!$C$6:$C$10</c:f>
              <c:numCache>
                <c:formatCode>General</c:formatCode>
                <c:ptCount val="5"/>
                <c:pt idx="0">
                  <c:v>0</c:v>
                </c:pt>
                <c:pt idx="1">
                  <c:v>14.2</c:v>
                </c:pt>
                <c:pt idx="2">
                  <c:v>23.3</c:v>
                </c:pt>
                <c:pt idx="3">
                  <c:v>32.200000000000003</c:v>
                </c:pt>
                <c:pt idx="4">
                  <c:v>41.3</c:v>
                </c:pt>
              </c:numCache>
            </c:numRef>
          </c:xVal>
          <c:yVal>
            <c:numRef>
              <c:f>Prob_2!$D$6:$D$10</c:f>
              <c:numCache>
                <c:formatCode>0.00</c:formatCode>
                <c:ptCount val="5"/>
                <c:pt idx="0">
                  <c:v>0</c:v>
                </c:pt>
                <c:pt idx="1">
                  <c:v>0.74152522079999983</c:v>
                </c:pt>
                <c:pt idx="2">
                  <c:v>1.1415585635999999</c:v>
                </c:pt>
                <c:pt idx="3">
                  <c:v>1.5318349955999997</c:v>
                </c:pt>
                <c:pt idx="4">
                  <c:v>1.8928406951999999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4-4A9A-82E9-E80E613B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01376"/>
        <c:axId val="2080812192"/>
      </c:scatterChart>
      <c:valAx>
        <c:axId val="20808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80812192"/>
        <c:crosses val="autoZero"/>
        <c:crossBetween val="midCat"/>
      </c:valAx>
      <c:valAx>
        <c:axId val="20808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8080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Prob_3!$D$3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intercept val="0"/>
            <c:dispRSqr val="0"/>
            <c:dispEq val="1"/>
            <c:trendlineLbl>
              <c:layout>
                <c:manualLayout>
                  <c:x val="-0.38612707786526684"/>
                  <c:y val="0.2449537037037037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Prob_3!$C$4:$C$16</c:f>
              <c:numCache>
                <c:formatCode>General</c:formatCode>
                <c:ptCount val="13"/>
                <c:pt idx="0">
                  <c:v>0.1</c:v>
                </c:pt>
                <c:pt idx="1">
                  <c:v>9.61</c:v>
                </c:pt>
                <c:pt idx="2">
                  <c:v>19.760000000000002</c:v>
                </c:pt>
                <c:pt idx="3">
                  <c:v>28.42</c:v>
                </c:pt>
                <c:pt idx="4">
                  <c:v>38.200000000000003</c:v>
                </c:pt>
                <c:pt idx="5">
                  <c:v>47.3</c:v>
                </c:pt>
                <c:pt idx="6">
                  <c:v>57.2</c:v>
                </c:pt>
                <c:pt idx="7">
                  <c:v>66.599999999999994</c:v>
                </c:pt>
                <c:pt idx="8">
                  <c:v>76</c:v>
                </c:pt>
                <c:pt idx="9">
                  <c:v>85.9</c:v>
                </c:pt>
                <c:pt idx="10">
                  <c:v>95</c:v>
                </c:pt>
                <c:pt idx="11">
                  <c:v>104.9</c:v>
                </c:pt>
                <c:pt idx="12">
                  <c:v>113.9</c:v>
                </c:pt>
              </c:numCache>
            </c:numRef>
          </c:xVal>
          <c:yVal>
            <c:numRef>
              <c:f>Prob_3!$D$4:$D$16</c:f>
              <c:numCache>
                <c:formatCode>General</c:formatCode>
                <c:ptCount val="13"/>
                <c:pt idx="0">
                  <c:v>8.9999999999999993E-3</c:v>
                </c:pt>
                <c:pt idx="1">
                  <c:v>0.93</c:v>
                </c:pt>
                <c:pt idx="2">
                  <c:v>1.92</c:v>
                </c:pt>
                <c:pt idx="3">
                  <c:v>2.77</c:v>
                </c:pt>
                <c:pt idx="4">
                  <c:v>3.73</c:v>
                </c:pt>
                <c:pt idx="5">
                  <c:v>4.63</c:v>
                </c:pt>
                <c:pt idx="6">
                  <c:v>5.6</c:v>
                </c:pt>
                <c:pt idx="7">
                  <c:v>6.52</c:v>
                </c:pt>
                <c:pt idx="8">
                  <c:v>7.45</c:v>
                </c:pt>
                <c:pt idx="9">
                  <c:v>8.42</c:v>
                </c:pt>
                <c:pt idx="10">
                  <c:v>9.32</c:v>
                </c:pt>
                <c:pt idx="11">
                  <c:v>10.3</c:v>
                </c:pt>
                <c:pt idx="12">
                  <c:v>11.15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2E-4970-B8AA-3C8C551F9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518128"/>
        <c:axId val="376518544"/>
      </c:scatterChart>
      <c:valAx>
        <c:axId val="37651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6518544"/>
        <c:crosses val="autoZero"/>
        <c:crossBetween val="midCat"/>
      </c:valAx>
      <c:valAx>
        <c:axId val="3765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651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Prob_4!$D$7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backward val="3"/>
            <c:dispRSqr val="0"/>
            <c:dispEq val="1"/>
            <c:trendlineLbl>
              <c:layout>
                <c:manualLayout>
                  <c:x val="-0.15833158355205598"/>
                  <c:y val="-6.8746719160104983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Prob_4!$C$8:$C$27</c:f>
              <c:numCache>
                <c:formatCode>0.0</c:formatCode>
                <c:ptCount val="20"/>
                <c:pt idx="0">
                  <c:v>44</c:v>
                </c:pt>
                <c:pt idx="1">
                  <c:v>46</c:v>
                </c:pt>
                <c:pt idx="2">
                  <c:v>48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64</c:v>
                </c:pt>
                <c:pt idx="11">
                  <c:v>66</c:v>
                </c:pt>
                <c:pt idx="12">
                  <c:v>68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</c:numCache>
            </c:numRef>
          </c:xVal>
          <c:yVal>
            <c:numRef>
              <c:f>Prob_4!$D$8:$D$27</c:f>
              <c:numCache>
                <c:formatCode>0.0</c:formatCode>
                <c:ptCount val="20"/>
                <c:pt idx="0">
                  <c:v>220.1</c:v>
                </c:pt>
                <c:pt idx="1">
                  <c:v>214</c:v>
                </c:pt>
                <c:pt idx="2">
                  <c:v>207.9</c:v>
                </c:pt>
                <c:pt idx="3">
                  <c:v>202.1</c:v>
                </c:pt>
                <c:pt idx="4">
                  <c:v>195.9</c:v>
                </c:pt>
                <c:pt idx="5">
                  <c:v>190</c:v>
                </c:pt>
                <c:pt idx="6">
                  <c:v>184</c:v>
                </c:pt>
                <c:pt idx="7">
                  <c:v>178</c:v>
                </c:pt>
                <c:pt idx="8">
                  <c:v>172.1</c:v>
                </c:pt>
                <c:pt idx="9">
                  <c:v>165.9</c:v>
                </c:pt>
                <c:pt idx="10">
                  <c:v>159.9</c:v>
                </c:pt>
                <c:pt idx="11">
                  <c:v>153.80000000000001</c:v>
                </c:pt>
                <c:pt idx="12">
                  <c:v>147.69999999999999</c:v>
                </c:pt>
                <c:pt idx="13">
                  <c:v>141.69999999999999</c:v>
                </c:pt>
                <c:pt idx="14">
                  <c:v>135.80000000000001</c:v>
                </c:pt>
                <c:pt idx="15">
                  <c:v>129.69999999999999</c:v>
                </c:pt>
                <c:pt idx="16">
                  <c:v>123.6</c:v>
                </c:pt>
                <c:pt idx="17">
                  <c:v>117.5</c:v>
                </c:pt>
                <c:pt idx="18">
                  <c:v>111.6</c:v>
                </c:pt>
                <c:pt idx="19">
                  <c:v>105.6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7-4D64-A3CD-6764767F0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088208"/>
        <c:axId val="1790091536"/>
      </c:scatterChart>
      <c:valAx>
        <c:axId val="179008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90091536"/>
        <c:crosses val="autoZero"/>
        <c:crossBetween val="midCat"/>
      </c:valAx>
      <c:valAx>
        <c:axId val="17900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9008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intercept val="0"/>
            <c:dispRSqr val="0"/>
            <c:dispEq val="1"/>
            <c:trendlineLbl>
              <c:layout>
                <c:manualLayout>
                  <c:x val="-0.38607261592300962"/>
                  <c:y val="0.27690142898804315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Prob_5!$C$6:$C$11</c:f>
              <c:numCache>
                <c:formatCode>General</c:formatCode>
                <c:ptCount val="6"/>
                <c:pt idx="0">
                  <c:v>0</c:v>
                </c:pt>
                <c:pt idx="1">
                  <c:v>9.8019999999999996</c:v>
                </c:pt>
                <c:pt idx="2">
                  <c:v>19.603999999999999</c:v>
                </c:pt>
                <c:pt idx="3">
                  <c:v>29.405999999999999</c:v>
                </c:pt>
                <c:pt idx="4">
                  <c:v>39.207999999999998</c:v>
                </c:pt>
                <c:pt idx="5">
                  <c:v>49.01</c:v>
                </c:pt>
              </c:numCache>
            </c:numRef>
          </c:xVal>
          <c:yVal>
            <c:numRef>
              <c:f>Prob_5!$D$6:$D$11</c:f>
              <c:numCache>
                <c:formatCode>0.000</c:formatCode>
                <c:ptCount val="6"/>
                <c:pt idx="0">
                  <c:v>0</c:v>
                </c:pt>
                <c:pt idx="1">
                  <c:v>6.4000000000000001E-2</c:v>
                </c:pt>
                <c:pt idx="2">
                  <c:v>0.11600000000000001</c:v>
                </c:pt>
                <c:pt idx="3">
                  <c:v>0.161</c:v>
                </c:pt>
                <c:pt idx="4">
                  <c:v>0.252</c:v>
                </c:pt>
                <c:pt idx="5">
                  <c:v>0.30199999999999999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9A-4982-AC18-8D24396F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573600"/>
        <c:axId val="1934572352"/>
      </c:scatterChart>
      <c:valAx>
        <c:axId val="193457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4572352"/>
        <c:crosses val="autoZero"/>
        <c:crossBetween val="midCat"/>
      </c:valAx>
      <c:valAx>
        <c:axId val="19345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457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</a:t>
            </a:r>
            <a:r>
              <a:rPr lang="en-US" baseline="-25000"/>
              <a:t>ressalto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Prob_6!$D$4</c:f>
              <c:strCache>
                <c:ptCount val="1"/>
                <c:pt idx="0">
                  <c:v>hressalto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.0000000000000006E-2"/>
            <c:backward val="4.0000000000000008E-2"/>
            <c:dispRSqr val="0"/>
            <c:dispEq val="1"/>
            <c:trendlineLbl>
              <c:layout>
                <c:manualLayout>
                  <c:x val="-7.9451662292213468E-2"/>
                  <c:y val="0.38193205016039661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Prob_6!$C$5:$C$15</c:f>
              <c:numCache>
                <c:formatCode>0.000</c:formatCode>
                <c:ptCount val="11"/>
                <c:pt idx="0">
                  <c:v>1.27</c:v>
                </c:pt>
                <c:pt idx="1">
                  <c:v>9.8342499999999999E-2</c:v>
                </c:pt>
                <c:pt idx="2">
                  <c:v>0.08</c:v>
                </c:pt>
                <c:pt idx="3">
                  <c:v>6.2E-2</c:v>
                </c:pt>
                <c:pt idx="4">
                  <c:v>5.1999999999999998E-2</c:v>
                </c:pt>
                <c:pt idx="5">
                  <c:v>0.04</c:v>
                </c:pt>
                <c:pt idx="6">
                  <c:v>0.59789999999999999</c:v>
                </c:pt>
                <c:pt idx="7">
                  <c:v>0.30129250000000002</c:v>
                </c:pt>
                <c:pt idx="8">
                  <c:v>0.16575000000000001</c:v>
                </c:pt>
                <c:pt idx="9">
                  <c:v>1.597375</c:v>
                </c:pt>
                <c:pt idx="10">
                  <c:v>0.83375999999999995</c:v>
                </c:pt>
              </c:numCache>
            </c:numRef>
          </c:xVal>
          <c:yVal>
            <c:numRef>
              <c:f>Prob_6!$D$5:$D$15</c:f>
              <c:numCache>
                <c:formatCode>0.000</c:formatCode>
                <c:ptCount val="11"/>
                <c:pt idx="0">
                  <c:v>0.69</c:v>
                </c:pt>
                <c:pt idx="1">
                  <c:v>0.08</c:v>
                </c:pt>
                <c:pt idx="2">
                  <c:v>6.2E-2</c:v>
                </c:pt>
                <c:pt idx="3">
                  <c:v>5.1999999999999998E-2</c:v>
                </c:pt>
                <c:pt idx="4">
                  <c:v>0.04</c:v>
                </c:pt>
                <c:pt idx="5">
                  <c:v>2.5000000000000001E-2</c:v>
                </c:pt>
                <c:pt idx="6">
                  <c:v>0.30129250000000002</c:v>
                </c:pt>
                <c:pt idx="7">
                  <c:v>0.16575000000000001</c:v>
                </c:pt>
                <c:pt idx="8">
                  <c:v>9.8952499999999999E-2</c:v>
                </c:pt>
                <c:pt idx="9">
                  <c:v>0.83375999999999995</c:v>
                </c:pt>
                <c:pt idx="10">
                  <c:v>0.50492499999999996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A2-41F5-9D21-19918FE27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650112"/>
        <c:axId val="378643872"/>
      </c:scatterChart>
      <c:valAx>
        <c:axId val="37865011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8643872"/>
        <c:crosses val="autoZero"/>
        <c:crossBetween val="midCat"/>
      </c:valAx>
      <c:valAx>
        <c:axId val="378643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865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320675</xdr:colOff>
      <xdr:row>1</xdr:row>
      <xdr:rowOff>63500</xdr:rowOff>
    </xdr:from>
    <xdr:to>
      <xdr:col>13</xdr:col>
      <xdr:colOff>15875</xdr:colOff>
      <xdr:row>16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374651</xdr:colOff>
      <xdr:row>18</xdr:row>
      <xdr:rowOff>0</xdr:rowOff>
    </xdr:from>
    <xdr:to>
      <xdr:col>4</xdr:col>
      <xdr:colOff>388708</xdr:colOff>
      <xdr:row>20</xdr:row>
      <xdr:rowOff>26938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251" y="3390900"/>
          <a:ext cx="1842857" cy="3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17</xdr:row>
      <xdr:rowOff>38101</xdr:rowOff>
    </xdr:from>
    <xdr:to>
      <xdr:col>9</xdr:col>
      <xdr:colOff>418744</xdr:colOff>
      <xdr:row>20</xdr:row>
      <xdr:rowOff>42794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1" y="3244851"/>
          <a:ext cx="2857143" cy="5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</xdr:row>
      <xdr:rowOff>133350</xdr:rowOff>
    </xdr:from>
    <xdr:to>
      <xdr:col>12</xdr:col>
      <xdr:colOff>581025</xdr:colOff>
      <xdr:row>17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0</xdr:rowOff>
    </xdr:from>
    <xdr:to>
      <xdr:col>12</xdr:col>
      <xdr:colOff>295275</xdr:colOff>
      <xdr:row>15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66675</xdr:colOff>
      <xdr:row>27</xdr:row>
      <xdr:rowOff>114300</xdr:rowOff>
    </xdr:from>
    <xdr:ext cx="5526769" cy="10776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/>
            <xdr:cNvSpPr txBox="1"/>
          </xdr:nvSpPr>
          <xdr:spPr>
            <a:xfrm>
              <a:off x="676275" y="7715250"/>
              <a:ext cx="5526769" cy="107766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PT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den>
                    </m:f>
                    <m:groupChr>
                      <m:groupChrPr>
                        <m:chr m:val="⇒"/>
                        <m:vertJc m:val="bot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4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groupCh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b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𝑉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𝑉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b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𝑑𝑒𝑐𝑙𝑖𝑣𝑒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𝑑𝑒𝑐𝑙𝑖𝑣𝑒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𝑉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𝑑𝑒𝑐𝑙𝑖𝑣𝑒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𝑉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𝑑𝑒𝑐𝑙𝑖𝑣𝑒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4" name="TextBox 3"/>
            <xdr:cNvSpPr txBox="1"/>
          </xdr:nvSpPr>
          <xdr:spPr>
            <a:xfrm>
              <a:off x="676275" y="7715250"/>
              <a:ext cx="5526769" cy="107766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pt-PT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𝑅=1/𝑅_𝑑𝑒𝑐𝑙𝑖𝑣𝑒 −1/𝑅_𝑉 =𝑅_𝑉/(𝑅_𝑉 𝑅_𝑑𝑒𝑐𝑙𝑖𝑣𝑒 )−𝑅_𝑑𝑒𝑐𝑙𝑖𝑣𝑒/(𝑅_𝑑𝑒𝑐𝑙𝑖𝑣𝑒 𝑅_𝑉 )=(𝑅_𝑉−𝑅_𝑑𝑒𝑐𝑙𝑖𝑣𝑒)/(𝑅_𝑉 𝑅_𝑑𝑒𝑐𝑙𝑖𝑣𝑒 )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𝑅=(𝑅_𝑉 𝑅_𝑑𝑒𝑐𝑙𝑖𝑣𝑒)/(𝑅_𝑉−𝑅_𝑑𝑒𝑐𝑙𝑖𝑣𝑒 ) ⇒┴  𝑢_𝑅=𝑅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∙√((𝑢_(𝑅_𝑉 )/𝑅_𝑉 )^2+(𝑢_(𝑅_𝑑𝑒𝑐𝑙𝑖𝑣𝑒 )/𝑅_𝑑𝑒𝑐𝑙𝑖𝑣𝑒 )^2+(𝑢_(𝑅_𝑉)^2+𝑢_(𝑅_𝑑𝑒𝑐𝑙𝑖𝑣𝑒)^2)/(𝑅_𝑉−𝑅_𝑑𝑒𝑐𝑙𝑖𝑣𝑒 )^2 )</a:t>
              </a:r>
              <a:endParaRPr lang="pt-PT" sz="1400"/>
            </a:p>
          </xdr:txBody>
        </xdr:sp>
      </mc:Fallback>
    </mc:AlternateContent>
    <xdr:clientData/>
  </xdr:oneCellAnchor>
  <xdr:twoCellAnchor>
    <xdr:from>
      <xdr:col>4</xdr:col>
      <xdr:colOff>0</xdr:colOff>
      <xdr:row>38</xdr:row>
      <xdr:rowOff>133350</xdr:rowOff>
    </xdr:from>
    <xdr:to>
      <xdr:col>5</xdr:col>
      <xdr:colOff>25400</xdr:colOff>
      <xdr:row>40</xdr:row>
      <xdr:rowOff>95250</xdr:rowOff>
    </xdr:to>
    <xdr:grpSp>
      <xdr:nvGrpSpPr>
        <xdr:cNvPr id="8" name="Group 7"/>
        <xdr:cNvGrpSpPr/>
      </xdr:nvGrpSpPr>
      <xdr:grpSpPr>
        <a:xfrm>
          <a:off x="2552700" y="7416800"/>
          <a:ext cx="635000" cy="330200"/>
          <a:chOff x="2565400" y="10026650"/>
          <a:chExt cx="635000" cy="330200"/>
        </a:xfrm>
      </xdr:grpSpPr>
      <xdr:cxnSp macro="">
        <xdr:nvCxnSpPr>
          <xdr:cNvPr id="6" name="Straight Connector 5"/>
          <xdr:cNvCxnSpPr/>
        </xdr:nvCxnSpPr>
        <xdr:spPr>
          <a:xfrm>
            <a:off x="2565400" y="10026650"/>
            <a:ext cx="635000" cy="33020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/>
          <xdr:cNvCxnSpPr/>
        </xdr:nvCxnSpPr>
        <xdr:spPr>
          <a:xfrm flipV="1">
            <a:off x="2565400" y="10026650"/>
            <a:ext cx="635000" cy="33020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279400</xdr:colOff>
      <xdr:row>30</xdr:row>
      <xdr:rowOff>107950</xdr:rowOff>
    </xdr:from>
    <xdr:to>
      <xdr:col>10</xdr:col>
      <xdr:colOff>127000</xdr:colOff>
      <xdr:row>33</xdr:row>
      <xdr:rowOff>139700</xdr:rowOff>
    </xdr:to>
    <xdr:grpSp>
      <xdr:nvGrpSpPr>
        <xdr:cNvPr id="9" name="Group 8"/>
        <xdr:cNvGrpSpPr/>
      </xdr:nvGrpSpPr>
      <xdr:grpSpPr>
        <a:xfrm>
          <a:off x="2832100" y="5683250"/>
          <a:ext cx="3505200" cy="584200"/>
          <a:chOff x="2565400" y="10026650"/>
          <a:chExt cx="635000" cy="330200"/>
        </a:xfrm>
      </xdr:grpSpPr>
      <xdr:cxnSp macro="">
        <xdr:nvCxnSpPr>
          <xdr:cNvPr id="10" name="Straight Connector 9"/>
          <xdr:cNvCxnSpPr/>
        </xdr:nvCxnSpPr>
        <xdr:spPr>
          <a:xfrm>
            <a:off x="2565400" y="10026650"/>
            <a:ext cx="635000" cy="33020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Connector 10"/>
          <xdr:cNvCxnSpPr/>
        </xdr:nvCxnSpPr>
        <xdr:spPr>
          <a:xfrm flipV="1">
            <a:off x="2565400" y="10026650"/>
            <a:ext cx="635000" cy="33020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152400</xdr:colOff>
      <xdr:row>33</xdr:row>
      <xdr:rowOff>139700</xdr:rowOff>
    </xdr:from>
    <xdr:to>
      <xdr:col>13</xdr:col>
      <xdr:colOff>184150</xdr:colOff>
      <xdr:row>45</xdr:row>
      <xdr:rowOff>177800</xdr:rowOff>
    </xdr:to>
    <xdr:sp macro="" textlink="">
      <xdr:nvSpPr>
        <xdr:cNvPr id="12" name="TextBox 11"/>
        <xdr:cNvSpPr txBox="1"/>
      </xdr:nvSpPr>
      <xdr:spPr>
        <a:xfrm>
          <a:off x="3879850" y="8845550"/>
          <a:ext cx="4298950" cy="25082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rgbClr val="C00000"/>
              </a:solidFill>
            </a:rPr>
            <a:t>Nota: esta forma de resolver está errada por não</a:t>
          </a:r>
          <a:r>
            <a:rPr lang="pt-PT" sz="1100" baseline="0">
              <a:solidFill>
                <a:srgbClr val="C00000"/>
              </a:solidFill>
            </a:rPr>
            <a:t> tem em conta as correlações. Quer R</a:t>
          </a:r>
          <a:r>
            <a:rPr lang="pt-PT" sz="1100" baseline="-25000">
              <a:solidFill>
                <a:srgbClr val="C00000"/>
              </a:solidFill>
            </a:rPr>
            <a:t>V</a:t>
          </a:r>
          <a:r>
            <a:rPr lang="pt-PT" sz="1100" baseline="0">
              <a:solidFill>
                <a:srgbClr val="C00000"/>
              </a:solidFill>
            </a:rPr>
            <a:t> quer R</a:t>
          </a:r>
          <a:r>
            <a:rPr lang="pt-PT" sz="1100" baseline="-25000">
              <a:solidFill>
                <a:srgbClr val="C00000"/>
              </a:solidFill>
            </a:rPr>
            <a:t>declive</a:t>
          </a:r>
          <a:r>
            <a:rPr lang="pt-PT" sz="1100" baseline="0">
              <a:solidFill>
                <a:srgbClr val="C00000"/>
              </a:solidFill>
            </a:rPr>
            <a:t> estão correlacionados com o denominador. É o mesmo problema que foi referido no trabalho laboratorial sobre densidade de objetos e que vai aparecendo aqui e acolá noutros problemas. Neste a consequência é enorme porque o valor obtido para a incerteza padrão de R é perto de 300 vezes superior ao valor correto.</a:t>
          </a:r>
        </a:p>
        <a:p>
          <a:r>
            <a:rPr lang="pt-PT" sz="1100" baseline="0">
              <a:solidFill>
                <a:srgbClr val="C00000"/>
              </a:solidFill>
            </a:rPr>
            <a:t>Como se corrige? Duas alternativas:</a:t>
          </a:r>
        </a:p>
        <a:p>
          <a:r>
            <a:rPr lang="pt-PT" sz="1100" baseline="0">
              <a:solidFill>
                <a:srgbClr val="C00000"/>
              </a:solidFill>
            </a:rPr>
            <a:t>(i) usar o método numérico. Este método é muito mais imune a estes problemas.</a:t>
          </a:r>
        </a:p>
        <a:p>
          <a:r>
            <a:rPr lang="pt-PT" sz="1100" baseline="0">
              <a:solidFill>
                <a:srgbClr val="C00000"/>
              </a:solidFill>
            </a:rPr>
            <a:t>(ii) para usar o método analítico deve-se calcular os coeficientes de sensibilidade derivando a equação total ou, se usarmos as fórmulas dos casos particulares (somas e subtrações, multiplicações e divisões, etc.) devemos reescrever a equação para que não haja correlações.</a:t>
          </a:r>
        </a:p>
      </xdr:txBody>
    </xdr:sp>
    <xdr:clientData/>
  </xdr:twoCellAnchor>
  <xdr:oneCellAnchor>
    <xdr:from>
      <xdr:col>1</xdr:col>
      <xdr:colOff>0</xdr:colOff>
      <xdr:row>53</xdr:row>
      <xdr:rowOff>0</xdr:rowOff>
    </xdr:from>
    <xdr:ext cx="5291769" cy="15722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/>
            <xdr:cNvSpPr txBox="1"/>
          </xdr:nvSpPr>
          <xdr:spPr>
            <a:xfrm>
              <a:off x="609600" y="12725400"/>
              <a:ext cx="5291769" cy="157229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PT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𝑑𝑒𝑐𝑙𝑖𝑣𝑒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sub>
                        </m:sSub>
                      </m:den>
                    </m:f>
                    <m:groupChr>
                      <m:groupChrPr>
                        <m:chr m:val="⇒"/>
                        <m:vertJc m:val="bot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4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groupCh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den>
                        </m:f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f>
                              <m:f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𝑑𝑒𝑐𝑙𝑖𝑣𝑒</m:t>
                                    </m:r>
                                  </m:sub>
                                </m:sSub>
                              </m:den>
                            </m:f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f>
                              <m:f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sub>
                                </m:sSub>
                              </m:den>
                            </m:f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b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</a:rPr>
                                              <m:t>𝑑𝑒𝑐𝑙𝑖𝑣𝑒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Sup>
                                      <m:sSubSup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𝑑𝑒𝑐𝑙𝑖𝑣𝑒</m:t>
                                        </m:r>
                                      </m:sub>
                                      <m:sup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bSup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b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</a:rPr>
                                              <m:t>𝑉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Sup>
                                      <m:sSubSup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𝑉</m:t>
                                        </m:r>
                                      </m:sub>
                                      <m:sup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bSup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den>
                        </m:f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groupChr>
                      <m:groupChrPr>
                        <m:chr m:val="⇒"/>
                        <m:vertJc m:val="bot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4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groupCh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f>
                                          <m:fPr>
                                            <m:ctrlP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1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4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den>
                                        </m:f>
                                      </m:sub>
                                    </m:sSub>
                                  </m:num>
                                  <m:den>
                                    <m:f>
                                      <m:f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num>
                                      <m:den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den>
                                    </m:f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den>
                        </m:f>
                      </m:sub>
                    </m:sSub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13" name="TextBox 12"/>
            <xdr:cNvSpPr txBox="1"/>
          </xdr:nvSpPr>
          <xdr:spPr>
            <a:xfrm>
              <a:off x="609600" y="12725400"/>
              <a:ext cx="5291769" cy="157229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pt-PT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𝑅=1/𝑅_𝑑𝑒𝑐𝑙𝑖𝑣𝑒 −1/𝑅_𝑉  ⇒┴  𝑢_(1/𝑅)=√(𝑢_(1/𝑅_𝑑𝑒𝑐𝑙𝑖𝑣𝑒 )^2+𝑢_(1/𝑅_𝑉 )^2 )=√((𝑢_(𝑅_𝑑𝑒𝑐𝑙𝑖𝑣𝑒 )/(𝑅_𝑑𝑒𝑐𝑙𝑖𝑣𝑒^2 ))^2+(𝑢_(𝑅_𝑉 )/(𝑅_𝑉^2 ))^2 )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𝑅=1/(1/𝑅)=(1/𝑅)^(−1) ⇒┴  𝑢_𝑅=𝑅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∙√((−1)^2∙(𝑢_(1/𝑅)/(1/𝑅))^2 )=𝑅^2 𝑢_(1/𝑅)</a:t>
              </a:r>
              <a:endParaRPr lang="pt-PT" sz="14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4</xdr:row>
      <xdr:rowOff>165100</xdr:rowOff>
    </xdr:from>
    <xdr:to>
      <xdr:col>13</xdr:col>
      <xdr:colOff>44450</xdr:colOff>
      <xdr:row>19</xdr:row>
      <xdr:rowOff>139700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146050</xdr:colOff>
      <xdr:row>33</xdr:row>
      <xdr:rowOff>95250</xdr:rowOff>
    </xdr:from>
    <xdr:ext cx="3645806" cy="17331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/>
            <xdr:cNvSpPr txBox="1"/>
          </xdr:nvSpPr>
          <xdr:spPr>
            <a:xfrm>
              <a:off x="1365250" y="6254750"/>
              <a:ext cx="3645806" cy="173316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PT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𝑏𝑎𝑙</m:t>
                        </m:r>
                      </m:sub>
                    </m:sSub>
                    <m:r>
                      <a:rPr lang="pt-PT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𝑝𝑒𝑠𝑜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𝑚𝑜𝑙𝑎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 &amp;     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𝑚𝑜𝑙𝑎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den>
                    </m:f>
                  </m:oMath>
                </m:oMathPara>
              </a14:m>
              <a:endParaRPr lang="en-US" sz="14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𝑏𝑎𝑙</m:t>
                        </m:r>
                      </m:sub>
                    </m:sSub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</m:t>
                    </m:r>
                    <m:groupChr>
                      <m:groupChrPr>
                        <m:chr m:val="⇒"/>
                        <m:vertJc m:val="bot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groupCh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𝑑𝑒𝑐𝑙𝑖𝑣𝑒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𝑏𝑎𝑙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den>
                    </m:f>
                  </m:oMath>
                </m:oMathPara>
              </a14:m>
              <a:endParaRPr lang="en-US" sz="14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𝑏𝑎𝑙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=∆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𝑝𝑒𝑠𝑜</m:t>
                            </m:r>
                          </m:sub>
                        </m:s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𝑚𝑜𝑙𝑎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</m:den>
                        </m:f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−∆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𝑚𝑜𝑙𝑎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4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∴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𝑑𝑒𝑐𝑙𝑖𝑣𝑒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−∆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𝑚𝑜𝑙𝑎</m:t>
                            </m:r>
                          </m:sub>
                        </m:sSub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∙∆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4" name="TextBox 3"/>
            <xdr:cNvSpPr txBox="1"/>
          </xdr:nvSpPr>
          <xdr:spPr>
            <a:xfrm>
              <a:off x="1365250" y="6254750"/>
              <a:ext cx="3645806" cy="173316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</a:t>
              </a:r>
              <a:r>
                <a:rPr lang="pt-PT" sz="1400" b="0" i="0">
                  <a:latin typeface="Cambria Math" panose="02040503050406030204" pitchFamily="18" charset="0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𝑏𝑎𝑙</a:t>
              </a:r>
              <a:r>
                <a:rPr lang="pt-PT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𝑔=𝑚_𝑝𝑒𝑠𝑜∙𝑔−𝐹_𝑚𝑜𝑙𝑎      &amp;     𝐾=(∆𝐹_𝑚𝑜𝑙𝑎)/∆𝑌</a:t>
              </a:r>
              <a:endParaRPr lang="en-US" sz="14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𝑚_𝑏𝑎𝑙 (𝑌)     ⇒┴      𝑑𝑒𝑐𝑙𝑖𝑣𝑒=(∆𝑚_𝑏𝑎𝑙)/∆𝑌</a:t>
              </a:r>
              <a:endParaRPr lang="en-US" sz="14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∆𝑚_𝑏𝑎𝑙=∆(𝑚_𝑝𝑒𝑠𝑜−𝐹_𝑚𝑜𝑙𝑎/𝑔)=(−∆𝐹_𝑚𝑜𝑙𝑎)/𝑔</a:t>
              </a:r>
              <a:endParaRPr lang="en-US" sz="14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∴𝑑𝑒𝑐𝑙𝑖𝑣𝑒=(−∆𝐹_𝑚𝑜𝑙𝑎)/(𝑔∙∆𝑌)=−𝐾/𝑔</a:t>
              </a:r>
              <a:endParaRPr lang="pt-PT" sz="1400"/>
            </a:p>
          </xdr:txBody>
        </xdr:sp>
      </mc:Fallback>
    </mc:AlternateContent>
    <xdr:clientData/>
  </xdr:oneCellAnchor>
  <xdr:oneCellAnchor>
    <xdr:from>
      <xdr:col>6</xdr:col>
      <xdr:colOff>95250</xdr:colOff>
      <xdr:row>22</xdr:row>
      <xdr:rowOff>146050</xdr:rowOff>
    </xdr:from>
    <xdr:ext cx="4025397" cy="609013"/>
    <xdr:sp macro="" textlink="">
      <xdr:nvSpPr>
        <xdr:cNvPr id="5" name="TextBox 4"/>
        <xdr:cNvSpPr txBox="1"/>
      </xdr:nvSpPr>
      <xdr:spPr>
        <a:xfrm>
          <a:off x="3848100" y="4222750"/>
          <a:ext cx="4025397" cy="60901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chemeClr val="accent6">
                  <a:lumMod val="75000"/>
                </a:schemeClr>
              </a:solidFill>
            </a:rPr>
            <a:t>Nota: estes</a:t>
          </a:r>
          <a:r>
            <a:rPr lang="pt-PT" sz="1100" baseline="0">
              <a:solidFill>
                <a:schemeClr val="accent6">
                  <a:lumMod val="75000"/>
                </a:schemeClr>
              </a:solidFill>
            </a:rPr>
            <a:t> dados são de uma experiência realizada por um grupo</a:t>
          </a:r>
        </a:p>
        <a:p>
          <a:r>
            <a:rPr lang="pt-PT" sz="1100" baseline="0">
              <a:solidFill>
                <a:schemeClr val="accent6">
                  <a:lumMod val="75000"/>
                </a:schemeClr>
              </a:solidFill>
            </a:rPr>
            <a:t>de alunos há cerca de 20 anos atrás e é um tipo de experiência que</a:t>
          </a:r>
        </a:p>
        <a:p>
          <a:r>
            <a:rPr lang="pt-PT" sz="1100" baseline="0">
              <a:solidFill>
                <a:schemeClr val="accent6">
                  <a:lumMod val="75000"/>
                </a:schemeClr>
              </a:solidFill>
            </a:rPr>
            <a:t>vocês podem realizar para o projeto.</a:t>
          </a:r>
          <a:endParaRPr lang="pt-PT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3</xdr:row>
      <xdr:rowOff>31750</xdr:rowOff>
    </xdr:from>
    <xdr:to>
      <xdr:col>13</xdr:col>
      <xdr:colOff>368300</xdr:colOff>
      <xdr:row>18</xdr:row>
      <xdr:rowOff>12700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355600</xdr:colOff>
      <xdr:row>1</xdr:row>
      <xdr:rowOff>127000</xdr:rowOff>
    </xdr:from>
    <xdr:to>
      <xdr:col>13</xdr:col>
      <xdr:colOff>50800</xdr:colOff>
      <xdr:row>16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177800</xdr:colOff>
      <xdr:row>22</xdr:row>
      <xdr:rowOff>44450</xdr:rowOff>
    </xdr:from>
    <xdr:ext cx="3055965" cy="1394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>
            <a:xfrm>
              <a:off x="787400" y="4159250"/>
              <a:ext cx="3055965" cy="139403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𝑚𝑔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𝑚</m:t>
                    </m:r>
                    <m:sSubSup>
                      <m:sSub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400" b="0" i="1">
                        <a:latin typeface="Cambria Math" panose="02040503050406030204" pitchFamily="18" charset="0"/>
                      </a:rPr>
                      <m:t>     </m:t>
                    </m:r>
                    <m:groupChr>
                      <m:groupChrPr>
                        <m:chr m:val="⇒"/>
                        <m:vertJc m:val="bot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4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groupChr>
                    <m:r>
                      <a:rPr lang="en-US" sz="1400" b="0" i="1">
                        <a:latin typeface="Cambria Math" panose="02040503050406030204" pitchFamily="18" charset="0"/>
                      </a:rPr>
                      <m:t>    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∴   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𝑟𝑒𝑠𝑠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𝑞𝑢𝑒𝑑𝑎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𝑎𝑓𝑎𝑠𝑡</m:t>
                                </m:r>
                              </m:sub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𝑎𝑝𝑟𝑜𝑥</m:t>
                                </m:r>
                              </m:sub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</m:den>
                        </m:f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𝑎𝑓𝑎𝑠𝑡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𝑎𝑝𝑟𝑜𝑥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>
            <a:xfrm>
              <a:off x="787400" y="4159250"/>
              <a:ext cx="3055965" cy="139403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𝑚𝑔ℎ_𝑚á𝑥=1/2 𝑚𝑣_𝑚á𝑥^2      ⇒┴      ℎ_𝑚á𝑥=(𝑣_𝑚á𝑥^2)/2𝑔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∴     ℎ_𝑟𝑒𝑠𝑠/ℎ_𝑞𝑢𝑒𝑑𝑎 =((𝑣_𝑎𝑓𝑎𝑠𝑡^2)/2𝑔)/((𝑣_𝑎𝑝𝑟𝑜𝑥^2)/2𝑔)=(𝑣_𝑎𝑓𝑎𝑠𝑡^2)/(𝑣_𝑎𝑝𝑟𝑜𝑥^2 )</a:t>
              </a:r>
              <a:endParaRPr lang="pt-PT" sz="1400"/>
            </a:p>
          </xdr:txBody>
        </xdr:sp>
      </mc:Fallback>
    </mc:AlternateContent>
    <xdr:clientData/>
  </xdr:oneCellAnchor>
  <xdr:oneCellAnchor>
    <xdr:from>
      <xdr:col>1</xdr:col>
      <xdr:colOff>152400</xdr:colOff>
      <xdr:row>31</xdr:row>
      <xdr:rowOff>63500</xdr:rowOff>
    </xdr:from>
    <xdr:ext cx="3615092" cy="63652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/>
            <xdr:cNvSpPr txBox="1"/>
          </xdr:nvSpPr>
          <xdr:spPr>
            <a:xfrm>
              <a:off x="762000" y="5835650"/>
              <a:ext cx="3615092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𝑎𝑓𝑎𝑠𝑡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𝑎𝑝𝑟𝑜𝑥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𝑟𝑒𝑠𝑠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𝑞𝑢𝑒𝑑𝑎</m:t>
                                </m:r>
                              </m:sub>
                            </m:sSub>
                          </m:den>
                        </m:f>
                      </m:e>
                    </m:rad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𝑑𝑒𝑐𝑙𝑖𝑣𝑒</m:t>
                        </m:r>
                      </m:e>
                    </m:rad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𝑑𝑒𝑐𝑙𝑖𝑣𝑒</m:t>
                        </m:r>
                      </m:e>
                      <m:sup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pt-PT" sz="1400"/>
            </a:p>
          </xdr:txBody>
        </xdr:sp>
      </mc:Choice>
      <mc:Fallback>
        <xdr:sp macro="" textlink="">
          <xdr:nvSpPr>
            <xdr:cNvPr id="5" name="TextBox 4"/>
            <xdr:cNvSpPr txBox="1"/>
          </xdr:nvSpPr>
          <xdr:spPr>
            <a:xfrm>
              <a:off x="762000" y="5835650"/>
              <a:ext cx="3615092" cy="6365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𝑒=𝑣_𝑎𝑓𝑎𝑠𝑡/𝑣_𝑎𝑝𝑟𝑜𝑥 =√(ℎ_𝑟𝑒𝑠𝑠/ℎ_𝑞𝑢𝑒𝑑𝑎 )=√𝑑𝑒𝑐𝑙𝑖𝑣𝑒=〖𝑑𝑒𝑐𝑙𝑖𝑣𝑒〗^(1/2)</a:t>
              </a:r>
              <a:endParaRPr lang="pt-PT" sz="1400"/>
            </a:p>
          </xdr:txBody>
        </xdr:sp>
      </mc:Fallback>
    </mc:AlternateContent>
    <xdr:clientData/>
  </xdr:oneCellAnchor>
  <xdr:twoCellAnchor editAs="oneCell">
    <xdr:from>
      <xdr:col>1</xdr:col>
      <xdr:colOff>317501</xdr:colOff>
      <xdr:row>40</xdr:row>
      <xdr:rowOff>31751</xdr:rowOff>
    </xdr:from>
    <xdr:to>
      <xdr:col>6</xdr:col>
      <xdr:colOff>126644</xdr:colOff>
      <xdr:row>43</xdr:row>
      <xdr:rowOff>36444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101" y="7461251"/>
          <a:ext cx="2857143" cy="557143"/>
        </a:xfrm>
        <a:prstGeom prst="rect">
          <a:avLst/>
        </a:prstGeom>
      </xdr:spPr>
    </xdr:pic>
    <xdr:clientData/>
  </xdr:twoCellAnchor>
  <xdr:oneCellAnchor>
    <xdr:from>
      <xdr:col>5</xdr:col>
      <xdr:colOff>419100</xdr:colOff>
      <xdr:row>47</xdr:row>
      <xdr:rowOff>25400</xdr:rowOff>
    </xdr:from>
    <xdr:ext cx="3817648" cy="609013"/>
    <xdr:sp macro="" textlink="">
      <xdr:nvSpPr>
        <xdr:cNvPr id="7" name="TextBox 6"/>
        <xdr:cNvSpPr txBox="1"/>
      </xdr:nvSpPr>
      <xdr:spPr>
        <a:xfrm>
          <a:off x="3467100" y="8743950"/>
          <a:ext cx="3817648" cy="60901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/>
            <a:t>Notas:</a:t>
          </a:r>
        </a:p>
        <a:p>
          <a:r>
            <a:rPr lang="pt-PT" sz="1100"/>
            <a:t>A</a:t>
          </a:r>
          <a:r>
            <a:rPr lang="pt-PT" sz="1100" baseline="0"/>
            <a:t> contagem do número de pontos é suposta exata.</a:t>
          </a:r>
        </a:p>
        <a:p>
          <a:r>
            <a:rPr lang="pt-PT" sz="1100" baseline="0"/>
            <a:t>Nestes ajustes lineares supomos que os valores de X são exatos.</a:t>
          </a:r>
          <a:endParaRPr lang="pt-PT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5"/>
  <sheetViews>
    <sheetView tabSelected="1" workbookViewId="0">
      <selection activeCell="B3" sqref="B3"/>
    </sheetView>
  </sheetViews>
  <sheetFormatPr defaultRowHeight="14.5" x14ac:dyDescent="0.35"/>
  <sheetData>
    <row r="4" spans="2:5" ht="16.5" x14ac:dyDescent="0.35">
      <c r="C4" s="3" t="s">
        <v>9</v>
      </c>
      <c r="D4" s="3" t="s">
        <v>10</v>
      </c>
    </row>
    <row r="5" spans="2:5" x14ac:dyDescent="0.35">
      <c r="C5" s="2" t="s">
        <v>8</v>
      </c>
      <c r="D5" s="2" t="s">
        <v>0</v>
      </c>
    </row>
    <row r="6" spans="2:5" x14ac:dyDescent="0.35">
      <c r="C6" s="16">
        <v>10</v>
      </c>
      <c r="D6" s="16">
        <v>9.76</v>
      </c>
    </row>
    <row r="7" spans="2:5" x14ac:dyDescent="0.35">
      <c r="C7" s="16">
        <v>20</v>
      </c>
      <c r="D7" s="16">
        <v>9.73</v>
      </c>
    </row>
    <row r="8" spans="2:5" x14ac:dyDescent="0.35">
      <c r="C8" s="16">
        <v>30</v>
      </c>
      <c r="D8" s="16">
        <v>9.6999999999999993</v>
      </c>
    </row>
    <row r="9" spans="2:5" x14ac:dyDescent="0.35">
      <c r="C9" s="16">
        <v>40</v>
      </c>
      <c r="D9" s="16">
        <v>9.68</v>
      </c>
    </row>
    <row r="10" spans="2:5" x14ac:dyDescent="0.35">
      <c r="C10" s="16">
        <v>50</v>
      </c>
      <c r="D10" s="16">
        <v>9.64</v>
      </c>
    </row>
    <row r="11" spans="2:5" x14ac:dyDescent="0.35">
      <c r="C11" s="16">
        <v>60</v>
      </c>
      <c r="D11" s="16">
        <v>9.58</v>
      </c>
    </row>
    <row r="13" spans="2:5" x14ac:dyDescent="0.35">
      <c r="B13" s="1" t="s">
        <v>11</v>
      </c>
      <c r="C13" s="13">
        <f t="array" ref="C13:D17">LINEST(D6:D11,C6:C11,TRUE,TRUE)</f>
        <v>-3.3999999999999933E-3</v>
      </c>
      <c r="D13" s="13">
        <v>9.8006666666666664</v>
      </c>
      <c r="E13" t="s">
        <v>13</v>
      </c>
    </row>
    <row r="14" spans="2:5" ht="16.5" x14ac:dyDescent="0.45">
      <c r="B14" s="1" t="s">
        <v>12</v>
      </c>
      <c r="C14" s="13">
        <v>3.0550504633038882E-4</v>
      </c>
      <c r="D14" s="13">
        <v>1.1897712198383146E-2</v>
      </c>
      <c r="E14" t="s">
        <v>14</v>
      </c>
    </row>
    <row r="15" spans="2:5" ht="16.5" x14ac:dyDescent="0.45">
      <c r="C15" s="12">
        <v>0.9687150837988826</v>
      </c>
      <c r="D15" s="13">
        <v>1.2780193008453856E-2</v>
      </c>
      <c r="E15" t="s">
        <v>15</v>
      </c>
    </row>
    <row r="16" spans="2:5" x14ac:dyDescent="0.35">
      <c r="C16" s="12">
        <v>123.85714285714276</v>
      </c>
      <c r="D16" s="12">
        <v>4</v>
      </c>
    </row>
    <row r="17" spans="2:4" x14ac:dyDescent="0.35">
      <c r="C17" s="12">
        <v>2.0229999999999922E-2</v>
      </c>
      <c r="D17" s="12">
        <v>6.5333333333333129E-4</v>
      </c>
    </row>
    <row r="22" spans="2:4" ht="16.5" x14ac:dyDescent="0.45">
      <c r="B22" s="1" t="s">
        <v>16</v>
      </c>
      <c r="C22" s="4">
        <v>200</v>
      </c>
      <c r="D22" s="15" t="s">
        <v>17</v>
      </c>
    </row>
    <row r="23" spans="2:4" ht="16.5" x14ac:dyDescent="0.45">
      <c r="B23" s="1" t="s">
        <v>16</v>
      </c>
      <c r="C23" s="17">
        <f>C22/1000</f>
        <v>0.2</v>
      </c>
      <c r="D23" s="15" t="s">
        <v>9</v>
      </c>
    </row>
    <row r="24" spans="2:4" ht="17.5" x14ac:dyDescent="0.45">
      <c r="B24" s="1" t="s">
        <v>18</v>
      </c>
      <c r="C24" s="18">
        <f>C13*C23+D13</f>
        <v>9.7999866666666673</v>
      </c>
      <c r="D24" s="14" t="s">
        <v>10</v>
      </c>
    </row>
    <row r="25" spans="2:4" ht="17.5" x14ac:dyDescent="0.45">
      <c r="B25" s="1" t="s">
        <v>19</v>
      </c>
      <c r="C25" s="8">
        <f>SQRT(((C23-AVERAGE(C6:C11))*C14)^2+D15^2/COUNT(C6:C11))</f>
        <v>1.184282999211851E-2</v>
      </c>
      <c r="D25" s="14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3"/>
  <sheetViews>
    <sheetView workbookViewId="0">
      <selection activeCell="E3" sqref="E3"/>
    </sheetView>
  </sheetViews>
  <sheetFormatPr defaultRowHeight="14.5" x14ac:dyDescent="0.35"/>
  <sheetData>
    <row r="5" spans="2:5" x14ac:dyDescent="0.35">
      <c r="C5" s="3" t="s">
        <v>20</v>
      </c>
      <c r="D5" s="3" t="s">
        <v>27</v>
      </c>
    </row>
    <row r="6" spans="2:5" x14ac:dyDescent="0.35">
      <c r="B6" s="2" t="s">
        <v>21</v>
      </c>
      <c r="C6" s="4">
        <v>0</v>
      </c>
      <c r="D6" s="20">
        <v>0</v>
      </c>
    </row>
    <row r="7" spans="2:5" x14ac:dyDescent="0.35">
      <c r="B7" s="2" t="s">
        <v>22</v>
      </c>
      <c r="C7" s="4">
        <v>14.2</v>
      </c>
      <c r="D7" s="20">
        <v>0.74152522079999983</v>
      </c>
    </row>
    <row r="8" spans="2:5" x14ac:dyDescent="0.35">
      <c r="B8" s="2" t="s">
        <v>23</v>
      </c>
      <c r="C8" s="4">
        <v>23.3</v>
      </c>
      <c r="D8" s="20">
        <v>1.1415585635999999</v>
      </c>
    </row>
    <row r="9" spans="2:5" x14ac:dyDescent="0.35">
      <c r="B9" s="2" t="s">
        <v>24</v>
      </c>
      <c r="C9" s="4">
        <v>32.200000000000003</v>
      </c>
      <c r="D9" s="20">
        <v>1.5318349955999997</v>
      </c>
    </row>
    <row r="10" spans="2:5" x14ac:dyDescent="0.35">
      <c r="B10" s="2" t="s">
        <v>25</v>
      </c>
      <c r="C10" s="4">
        <v>41.3</v>
      </c>
      <c r="D10" s="20">
        <v>1.8928406951999999</v>
      </c>
    </row>
    <row r="12" spans="2:5" x14ac:dyDescent="0.35">
      <c r="B12" s="1" t="s">
        <v>11</v>
      </c>
      <c r="C12" s="13">
        <f t="array" ref="C12:D16">LINEST(D6:D10,C6:C10,FALSE,TRUE)</f>
        <v>4.7210939942908925E-2</v>
      </c>
      <c r="D12" s="13">
        <v>0</v>
      </c>
      <c r="E12" t="s">
        <v>13</v>
      </c>
    </row>
    <row r="13" spans="2:5" ht="16.5" x14ac:dyDescent="0.45">
      <c r="B13" s="1" t="s">
        <v>12</v>
      </c>
      <c r="C13" s="13">
        <v>8.5374485405626584E-4</v>
      </c>
      <c r="D13" s="13" t="e">
        <v>#N/A</v>
      </c>
      <c r="E13" t="s">
        <v>14</v>
      </c>
    </row>
    <row r="14" spans="2:5" ht="16.5" x14ac:dyDescent="0.45">
      <c r="C14" s="12">
        <v>0.99869363908304343</v>
      </c>
      <c r="D14" s="13">
        <v>5.041477218660452E-2</v>
      </c>
      <c r="E14" t="s">
        <v>15</v>
      </c>
    </row>
    <row r="15" spans="2:5" x14ac:dyDescent="0.35">
      <c r="C15" s="12">
        <v>3057.9409598679831</v>
      </c>
      <c r="D15" s="12">
        <v>4</v>
      </c>
    </row>
    <row r="16" spans="2:5" x14ac:dyDescent="0.35">
      <c r="C16" s="12">
        <v>7.7722133613425441</v>
      </c>
      <c r="D16" s="12">
        <v>1.0166597018508932E-2</v>
      </c>
    </row>
    <row r="21" spans="2:2" x14ac:dyDescent="0.35">
      <c r="B21" t="s">
        <v>28</v>
      </c>
    </row>
    <row r="22" spans="2:2" x14ac:dyDescent="0.35">
      <c r="B22" t="s">
        <v>30</v>
      </c>
    </row>
    <row r="23" spans="2:2" x14ac:dyDescent="0.35">
      <c r="B23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3"/>
  <sheetViews>
    <sheetView workbookViewId="0">
      <selection activeCell="B3" sqref="B3"/>
    </sheetView>
  </sheetViews>
  <sheetFormatPr defaultRowHeight="14.5" x14ac:dyDescent="0.35"/>
  <cols>
    <col min="3" max="3" width="9.7265625" customWidth="1"/>
    <col min="4" max="4" width="9.36328125" bestFit="1" customWidth="1"/>
  </cols>
  <sheetData>
    <row r="2" spans="3:4" x14ac:dyDescent="0.35">
      <c r="C2" s="21" t="s">
        <v>4</v>
      </c>
      <c r="D2" s="21" t="s">
        <v>32</v>
      </c>
    </row>
    <row r="3" spans="3:4" x14ac:dyDescent="0.35">
      <c r="C3" s="22" t="s">
        <v>31</v>
      </c>
      <c r="D3" s="22" t="s">
        <v>33</v>
      </c>
    </row>
    <row r="4" spans="3:4" x14ac:dyDescent="0.35">
      <c r="C4" s="4">
        <v>0.1</v>
      </c>
      <c r="D4" s="4">
        <v>8.9999999999999993E-3</v>
      </c>
    </row>
    <row r="5" spans="3:4" x14ac:dyDescent="0.35">
      <c r="C5" s="4">
        <v>9.61</v>
      </c>
      <c r="D5" s="4">
        <v>0.93</v>
      </c>
    </row>
    <row r="6" spans="3:4" x14ac:dyDescent="0.35">
      <c r="C6" s="4">
        <v>19.760000000000002</v>
      </c>
      <c r="D6" s="4">
        <v>1.92</v>
      </c>
    </row>
    <row r="7" spans="3:4" x14ac:dyDescent="0.35">
      <c r="C7" s="4">
        <v>28.42</v>
      </c>
      <c r="D7" s="4">
        <v>2.77</v>
      </c>
    </row>
    <row r="8" spans="3:4" x14ac:dyDescent="0.35">
      <c r="C8" s="4">
        <v>38.200000000000003</v>
      </c>
      <c r="D8" s="4">
        <v>3.73</v>
      </c>
    </row>
    <row r="9" spans="3:4" x14ac:dyDescent="0.35">
      <c r="C9" s="4">
        <v>47.3</v>
      </c>
      <c r="D9" s="4">
        <v>4.63</v>
      </c>
    </row>
    <row r="10" spans="3:4" x14ac:dyDescent="0.35">
      <c r="C10" s="4">
        <v>57.2</v>
      </c>
      <c r="D10" s="4">
        <v>5.6</v>
      </c>
    </row>
    <row r="11" spans="3:4" x14ac:dyDescent="0.35">
      <c r="C11" s="4">
        <v>66.599999999999994</v>
      </c>
      <c r="D11" s="4">
        <v>6.52</v>
      </c>
    </row>
    <row r="12" spans="3:4" x14ac:dyDescent="0.35">
      <c r="C12" s="4">
        <v>76</v>
      </c>
      <c r="D12" s="4">
        <v>7.45</v>
      </c>
    </row>
    <row r="13" spans="3:4" x14ac:dyDescent="0.35">
      <c r="C13" s="4">
        <v>85.9</v>
      </c>
      <c r="D13" s="4">
        <v>8.42</v>
      </c>
    </row>
    <row r="14" spans="3:4" x14ac:dyDescent="0.35">
      <c r="C14" s="4">
        <v>95</v>
      </c>
      <c r="D14" s="4">
        <v>9.32</v>
      </c>
    </row>
    <row r="15" spans="3:4" x14ac:dyDescent="0.35">
      <c r="C15" s="4">
        <v>104.9</v>
      </c>
      <c r="D15" s="4">
        <v>10.3</v>
      </c>
    </row>
    <row r="16" spans="3:4" x14ac:dyDescent="0.35">
      <c r="C16" s="4">
        <v>113.9</v>
      </c>
      <c r="D16" s="4">
        <v>11.15</v>
      </c>
    </row>
    <row r="18" spans="1:6" x14ac:dyDescent="0.35">
      <c r="B18" s="1" t="s">
        <v>11</v>
      </c>
      <c r="C18" s="13">
        <f t="array" ref="C18:D22">LINEST(D4:D16,C4:C16,FALSE,TRUE)</f>
        <v>9.799194824273913E-2</v>
      </c>
      <c r="D18" s="13">
        <v>0</v>
      </c>
      <c r="E18" t="s">
        <v>13</v>
      </c>
    </row>
    <row r="19" spans="1:6" ht="16.5" x14ac:dyDescent="0.45">
      <c r="B19" s="1" t="s">
        <v>12</v>
      </c>
      <c r="C19" s="23">
        <v>4.725260458825745E-5</v>
      </c>
      <c r="D19" s="13" t="e">
        <v>#N/A</v>
      </c>
      <c r="E19" t="s">
        <v>14</v>
      </c>
    </row>
    <row r="20" spans="1:6" ht="16.5" x14ac:dyDescent="0.45">
      <c r="C20" s="12">
        <v>0.99999720970093331</v>
      </c>
      <c r="D20" s="13">
        <v>1.146316205655561E-2</v>
      </c>
      <c r="E20" t="s">
        <v>15</v>
      </c>
    </row>
    <row r="21" spans="1:6" x14ac:dyDescent="0.35">
      <c r="C21" s="12">
        <v>4300602.2758843964</v>
      </c>
      <c r="D21" s="12">
        <v>12</v>
      </c>
    </row>
    <row r="22" spans="1:6" x14ac:dyDescent="0.35">
      <c r="C22" s="12">
        <v>565.11670415098797</v>
      </c>
      <c r="D22" s="12">
        <v>1.5768490120182748E-3</v>
      </c>
    </row>
    <row r="24" spans="1:6" x14ac:dyDescent="0.35">
      <c r="A24" s="1" t="s">
        <v>1</v>
      </c>
      <c r="B24" s="2" t="s">
        <v>35</v>
      </c>
      <c r="C24" s="7">
        <f>C18*1000</f>
        <v>97.991948242739127</v>
      </c>
      <c r="D24" s="24" t="s">
        <v>34</v>
      </c>
      <c r="E24" s="7">
        <f>C19*1000</f>
        <v>4.7252604588257446E-2</v>
      </c>
      <c r="F24" s="25" t="s">
        <v>36</v>
      </c>
    </row>
    <row r="26" spans="1:6" x14ac:dyDescent="0.35">
      <c r="A26" s="1" t="s">
        <v>2</v>
      </c>
    </row>
    <row r="27" spans="1:6" x14ac:dyDescent="0.35">
      <c r="B27" s="34" t="s">
        <v>48</v>
      </c>
    </row>
    <row r="35" spans="2:7" x14ac:dyDescent="0.35">
      <c r="C35" s="25" t="s">
        <v>36</v>
      </c>
    </row>
    <row r="36" spans="2:7" ht="29" x14ac:dyDescent="0.35">
      <c r="C36" s="2" t="s">
        <v>37</v>
      </c>
      <c r="D36" s="2" t="s">
        <v>38</v>
      </c>
      <c r="E36" s="9" t="s">
        <v>41</v>
      </c>
    </row>
    <row r="37" spans="2:7" ht="16.5" x14ac:dyDescent="0.45">
      <c r="B37" s="1" t="s">
        <v>40</v>
      </c>
      <c r="C37" s="7">
        <f>C24</f>
        <v>97.991948242739127</v>
      </c>
      <c r="D37" s="7">
        <f>E24</f>
        <v>4.7252604588257446E-2</v>
      </c>
      <c r="E37" s="11">
        <f>E24/C24</f>
        <v>4.8220905325003274E-4</v>
      </c>
    </row>
    <row r="38" spans="2:7" ht="16.5" x14ac:dyDescent="0.45">
      <c r="B38" s="1" t="s">
        <v>39</v>
      </c>
      <c r="C38" s="26">
        <v>11000000</v>
      </c>
      <c r="D38" s="27">
        <f>E38*C38</f>
        <v>1100000</v>
      </c>
      <c r="E38" s="10">
        <v>0.1</v>
      </c>
    </row>
    <row r="40" spans="2:7" x14ac:dyDescent="0.35">
      <c r="B40" s="1" t="s">
        <v>35</v>
      </c>
      <c r="C40" s="7">
        <f>C38*C37/(C38-C37)</f>
        <v>97.992821197963053</v>
      </c>
      <c r="D40" s="24" t="s">
        <v>34</v>
      </c>
      <c r="E40" s="7">
        <f>C40*SQRT(E38^2+E37^2+(D38^2+D37^2)/(C38-C37)^2)</f>
        <v>13.858419962784602</v>
      </c>
      <c r="F40" s="25" t="s">
        <v>36</v>
      </c>
    </row>
    <row r="43" spans="2:7" x14ac:dyDescent="0.35">
      <c r="B43" s="28" t="s">
        <v>42</v>
      </c>
    </row>
    <row r="44" spans="2:7" x14ac:dyDescent="0.35">
      <c r="F44" s="25" t="s">
        <v>36</v>
      </c>
    </row>
    <row r="45" spans="2:7" ht="16.5" x14ac:dyDescent="0.45">
      <c r="C45" s="2" t="s">
        <v>37</v>
      </c>
      <c r="D45" s="2" t="s">
        <v>43</v>
      </c>
      <c r="E45" s="2" t="s">
        <v>44</v>
      </c>
      <c r="F45" s="29" t="s">
        <v>45</v>
      </c>
      <c r="G45" s="29" t="s">
        <v>46</v>
      </c>
    </row>
    <row r="46" spans="2:7" x14ac:dyDescent="0.35">
      <c r="C46" s="2"/>
      <c r="D46" s="2"/>
      <c r="E46" s="6"/>
      <c r="F46" s="33">
        <f>C$48*C$47/(C$48-C$47)</f>
        <v>97.992821197963053</v>
      </c>
    </row>
    <row r="47" spans="2:7" ht="16.5" x14ac:dyDescent="0.45">
      <c r="B47" s="1" t="s">
        <v>40</v>
      </c>
      <c r="C47" s="20">
        <f>C37</f>
        <v>97.991948242739127</v>
      </c>
      <c r="D47" s="20">
        <f>D37</f>
        <v>4.7252604588257446E-2</v>
      </c>
      <c r="E47" s="6">
        <f>C47+D47</f>
        <v>98.039200847327379</v>
      </c>
      <c r="F47" s="8">
        <f>C$48*E$47/(C$48-E$47)</f>
        <v>98.040074644651867</v>
      </c>
      <c r="G47" s="6">
        <f>(F47-$F$46)/D47</f>
        <v>1.0000178212516193</v>
      </c>
    </row>
    <row r="48" spans="2:7" ht="16.5" x14ac:dyDescent="0.45">
      <c r="B48" s="1" t="s">
        <v>39</v>
      </c>
      <c r="C48" s="26">
        <f>C38</f>
        <v>11000000</v>
      </c>
      <c r="D48" s="26">
        <f>D38</f>
        <v>1100000</v>
      </c>
      <c r="E48" s="6">
        <f t="shared" ref="E48" si="0">C48+D48</f>
        <v>12100000</v>
      </c>
      <c r="F48" s="8">
        <f>E$48*C$47/(E$48-C$47)</f>
        <v>97.992741837754537</v>
      </c>
      <c r="G48" s="6">
        <f>(F48-$F$46)/D48</f>
        <v>-7.2145644106120187E-11</v>
      </c>
    </row>
    <row r="50" spans="2:5" ht="16.5" x14ac:dyDescent="0.45">
      <c r="B50" s="5" t="s">
        <v>47</v>
      </c>
      <c r="C50" s="32">
        <f>SQRT((G47*D47)^2+(G48*D48)^2)</f>
        <v>4.7253513329859755E-2</v>
      </c>
      <c r="D50" s="25" t="s">
        <v>36</v>
      </c>
    </row>
    <row r="52" spans="2:5" x14ac:dyDescent="0.35">
      <c r="B52" s="28" t="s">
        <v>49</v>
      </c>
    </row>
    <row r="63" spans="2:5" x14ac:dyDescent="0.35">
      <c r="C63" s="25" t="s">
        <v>36</v>
      </c>
    </row>
    <row r="64" spans="2:5" ht="29" x14ac:dyDescent="0.35">
      <c r="C64" s="2" t="s">
        <v>37</v>
      </c>
      <c r="D64" s="2" t="s">
        <v>38</v>
      </c>
      <c r="E64" s="9" t="s">
        <v>41</v>
      </c>
    </row>
    <row r="65" spans="2:6" ht="16.5" x14ac:dyDescent="0.45">
      <c r="B65" s="1" t="s">
        <v>40</v>
      </c>
      <c r="C65" s="7">
        <f>C24</f>
        <v>97.991948242739127</v>
      </c>
      <c r="D65" s="7">
        <f>E24</f>
        <v>4.7252604588257446E-2</v>
      </c>
      <c r="E65" s="11">
        <f>D65/C65</f>
        <v>4.8220905325003274E-4</v>
      </c>
    </row>
    <row r="66" spans="2:6" ht="16.5" x14ac:dyDescent="0.45">
      <c r="B66" s="1" t="s">
        <v>39</v>
      </c>
      <c r="C66" s="26">
        <v>11000000</v>
      </c>
      <c r="D66" s="27">
        <f>E66*C66</f>
        <v>1100000</v>
      </c>
      <c r="E66" s="10">
        <v>0.1</v>
      </c>
    </row>
    <row r="67" spans="2:6" x14ac:dyDescent="0.35">
      <c r="B67" s="1"/>
      <c r="C67" s="26"/>
      <c r="D67" s="27"/>
      <c r="E67" s="10"/>
    </row>
    <row r="68" spans="2:6" x14ac:dyDescent="0.35">
      <c r="B68" s="1" t="s">
        <v>50</v>
      </c>
      <c r="C68" s="36">
        <f>1/C65-1/C66</f>
        <v>1.020482916784099E-2</v>
      </c>
      <c r="D68" s="37">
        <f>SQRT((D65/C65^2)^2+(D66/C66^2)^2)</f>
        <v>4.9209132460823695E-6</v>
      </c>
      <c r="E68" s="11"/>
    </row>
    <row r="69" spans="2:6" x14ac:dyDescent="0.35">
      <c r="B69" s="1"/>
      <c r="C69" s="26"/>
      <c r="D69" s="27"/>
      <c r="E69" s="10"/>
    </row>
    <row r="70" spans="2:6" x14ac:dyDescent="0.35">
      <c r="B70" s="1" t="s">
        <v>35</v>
      </c>
      <c r="C70" s="7">
        <f>1/C68</f>
        <v>97.992821197963039</v>
      </c>
      <c r="D70" s="24" t="s">
        <v>34</v>
      </c>
      <c r="E70" s="7">
        <f>D68/C68^2</f>
        <v>4.7253527121616512E-2</v>
      </c>
      <c r="F70" s="25" t="s">
        <v>36</v>
      </c>
    </row>
    <row r="72" spans="2:6" x14ac:dyDescent="0.35">
      <c r="B72" t="s">
        <v>51</v>
      </c>
    </row>
    <row r="73" spans="2:6" x14ac:dyDescent="0.35">
      <c r="C73" s="25" t="s">
        <v>36</v>
      </c>
    </row>
    <row r="74" spans="2:6" ht="29" x14ac:dyDescent="0.35">
      <c r="C74" s="2" t="s">
        <v>37</v>
      </c>
      <c r="D74" s="2" t="s">
        <v>38</v>
      </c>
      <c r="E74" s="9" t="s">
        <v>41</v>
      </c>
    </row>
    <row r="75" spans="2:6" ht="16.5" x14ac:dyDescent="0.45">
      <c r="B75" s="1" t="s">
        <v>40</v>
      </c>
      <c r="C75" s="7">
        <f>C24</f>
        <v>97.991948242739127</v>
      </c>
      <c r="D75" s="7">
        <f>E24</f>
        <v>4.7252604588257446E-2</v>
      </c>
      <c r="E75" s="11">
        <f>D75/C75</f>
        <v>4.8220905325003274E-4</v>
      </c>
    </row>
    <row r="76" spans="2:6" ht="16.5" x14ac:dyDescent="0.45">
      <c r="B76" s="1" t="s">
        <v>39</v>
      </c>
      <c r="C76" s="26">
        <v>11000000</v>
      </c>
      <c r="D76" s="27">
        <f>E76*C76</f>
        <v>1100000</v>
      </c>
      <c r="E76" s="10">
        <v>0.1</v>
      </c>
    </row>
    <row r="77" spans="2:6" x14ac:dyDescent="0.35">
      <c r="B77" s="1"/>
      <c r="C77" s="26"/>
      <c r="D77" s="27"/>
      <c r="E77" s="10"/>
    </row>
    <row r="78" spans="2:6" ht="16.5" x14ac:dyDescent="0.35">
      <c r="B78" s="1"/>
      <c r="C78" s="25" t="s">
        <v>54</v>
      </c>
      <c r="D78" s="27"/>
      <c r="E78" s="10"/>
    </row>
    <row r="79" spans="2:6" ht="16.5" x14ac:dyDescent="0.45">
      <c r="B79" s="1" t="s">
        <v>52</v>
      </c>
      <c r="C79" s="36">
        <f>1/C75</f>
        <v>1.0204920076931899E-2</v>
      </c>
      <c r="D79" s="37">
        <f>D75/C75^2</f>
        <v>4.9209048487895825E-6</v>
      </c>
      <c r="E79" s="10"/>
    </row>
    <row r="80" spans="2:6" ht="16.5" x14ac:dyDescent="0.45">
      <c r="B80" s="1" t="s">
        <v>53</v>
      </c>
      <c r="C80" s="27">
        <f>1/C76</f>
        <v>9.0909090909090915E-8</v>
      </c>
      <c r="D80" s="27">
        <f>D76/C76^2</f>
        <v>9.0909090909090908E-9</v>
      </c>
      <c r="E80" s="10"/>
    </row>
    <row r="81" spans="2:6" x14ac:dyDescent="0.35">
      <c r="B81" s="1" t="s">
        <v>50</v>
      </c>
      <c r="C81" s="36">
        <f>C79-C80</f>
        <v>1.020482916784099E-2</v>
      </c>
      <c r="D81" s="37">
        <f>SQRT(D79^2+D80^2)</f>
        <v>4.9209132460823695E-6</v>
      </c>
      <c r="E81" s="11"/>
    </row>
    <row r="82" spans="2:6" x14ac:dyDescent="0.35">
      <c r="B82" s="1"/>
      <c r="C82" s="26"/>
      <c r="D82" s="27"/>
      <c r="E82" s="10"/>
    </row>
    <row r="83" spans="2:6" x14ac:dyDescent="0.35">
      <c r="B83" s="1" t="s">
        <v>35</v>
      </c>
      <c r="C83" s="7">
        <f>1/C81</f>
        <v>97.992821197963039</v>
      </c>
      <c r="D83" s="24" t="s">
        <v>34</v>
      </c>
      <c r="E83" s="7">
        <f>D81/C81^2</f>
        <v>4.7253527121616512E-2</v>
      </c>
      <c r="F83" s="25" t="s">
        <v>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51"/>
  <sheetViews>
    <sheetView zoomScaleNormal="100" workbookViewId="0">
      <selection activeCell="B4" sqref="B4"/>
    </sheetView>
  </sheetViews>
  <sheetFormatPr defaultRowHeight="14.5" x14ac:dyDescent="0.35"/>
  <cols>
    <col min="3" max="3" width="9.36328125" bestFit="1" customWidth="1"/>
    <col min="4" max="4" width="8.81640625" bestFit="1" customWidth="1"/>
    <col min="5" max="5" width="9.36328125" bestFit="1" customWidth="1"/>
  </cols>
  <sheetData>
    <row r="3" spans="3:7" ht="15.5" x14ac:dyDescent="0.35">
      <c r="C3" s="1" t="s">
        <v>55</v>
      </c>
      <c r="D3" s="2">
        <v>9.8019999999999996</v>
      </c>
      <c r="E3" s="29" t="s">
        <v>34</v>
      </c>
      <c r="F3" s="2">
        <v>3.0000000000000001E-3</v>
      </c>
      <c r="G3" s="15" t="s">
        <v>62</v>
      </c>
    </row>
    <row r="4" spans="3:7" ht="15" thickBot="1" x14ac:dyDescent="0.4"/>
    <row r="5" spans="3:7" ht="15" thickBot="1" x14ac:dyDescent="0.4">
      <c r="C5" s="38" t="s">
        <v>56</v>
      </c>
      <c r="D5" s="39"/>
      <c r="E5" s="40"/>
    </row>
    <row r="6" spans="3:7" x14ac:dyDescent="0.35">
      <c r="C6" s="41" t="s">
        <v>57</v>
      </c>
      <c r="D6" s="42" t="s">
        <v>58</v>
      </c>
      <c r="E6" s="43" t="s">
        <v>59</v>
      </c>
    </row>
    <row r="7" spans="3:7" x14ac:dyDescent="0.35">
      <c r="C7" s="44" t="s">
        <v>60</v>
      </c>
      <c r="D7" s="45" t="s">
        <v>17</v>
      </c>
      <c r="E7" s="46" t="s">
        <v>61</v>
      </c>
    </row>
    <row r="8" spans="3:7" x14ac:dyDescent="0.35">
      <c r="C8" s="47">
        <v>44</v>
      </c>
      <c r="D8" s="48">
        <v>220.1</v>
      </c>
      <c r="E8" s="49">
        <f>D8*$I$1/1000</f>
        <v>0</v>
      </c>
    </row>
    <row r="9" spans="3:7" x14ac:dyDescent="0.35">
      <c r="C9" s="47">
        <v>46</v>
      </c>
      <c r="D9" s="48">
        <v>214</v>
      </c>
      <c r="E9" s="49">
        <f t="shared" ref="E9:E27" si="0">D9*$I$1/1000</f>
        <v>0</v>
      </c>
    </row>
    <row r="10" spans="3:7" x14ac:dyDescent="0.35">
      <c r="C10" s="47">
        <v>48</v>
      </c>
      <c r="D10" s="48">
        <v>207.9</v>
      </c>
      <c r="E10" s="49">
        <f t="shared" si="0"/>
        <v>0</v>
      </c>
    </row>
    <row r="11" spans="3:7" x14ac:dyDescent="0.35">
      <c r="C11" s="47">
        <v>50</v>
      </c>
      <c r="D11" s="48">
        <v>202.1</v>
      </c>
      <c r="E11" s="49">
        <f t="shared" si="0"/>
        <v>0</v>
      </c>
    </row>
    <row r="12" spans="3:7" x14ac:dyDescent="0.35">
      <c r="C12" s="47">
        <v>52</v>
      </c>
      <c r="D12" s="48">
        <v>195.9</v>
      </c>
      <c r="E12" s="49">
        <f t="shared" si="0"/>
        <v>0</v>
      </c>
    </row>
    <row r="13" spans="3:7" x14ac:dyDescent="0.35">
      <c r="C13" s="47">
        <v>54</v>
      </c>
      <c r="D13" s="48">
        <v>190</v>
      </c>
      <c r="E13" s="49">
        <f t="shared" si="0"/>
        <v>0</v>
      </c>
    </row>
    <row r="14" spans="3:7" x14ac:dyDescent="0.35">
      <c r="C14" s="47">
        <v>56</v>
      </c>
      <c r="D14" s="48">
        <v>184</v>
      </c>
      <c r="E14" s="49">
        <f t="shared" si="0"/>
        <v>0</v>
      </c>
    </row>
    <row r="15" spans="3:7" x14ac:dyDescent="0.35">
      <c r="C15" s="47">
        <v>58</v>
      </c>
      <c r="D15" s="48">
        <v>178</v>
      </c>
      <c r="E15" s="49">
        <f t="shared" si="0"/>
        <v>0</v>
      </c>
    </row>
    <row r="16" spans="3:7" x14ac:dyDescent="0.35">
      <c r="C16" s="47">
        <v>60</v>
      </c>
      <c r="D16" s="48">
        <v>172.1</v>
      </c>
      <c r="E16" s="49">
        <f t="shared" si="0"/>
        <v>0</v>
      </c>
    </row>
    <row r="17" spans="2:5" x14ac:dyDescent="0.35">
      <c r="C17" s="47">
        <v>62</v>
      </c>
      <c r="D17" s="48">
        <v>165.9</v>
      </c>
      <c r="E17" s="49">
        <f t="shared" si="0"/>
        <v>0</v>
      </c>
    </row>
    <row r="18" spans="2:5" x14ac:dyDescent="0.35">
      <c r="C18" s="47">
        <v>64</v>
      </c>
      <c r="D18" s="48">
        <v>159.9</v>
      </c>
      <c r="E18" s="49">
        <f t="shared" si="0"/>
        <v>0</v>
      </c>
    </row>
    <row r="19" spans="2:5" x14ac:dyDescent="0.35">
      <c r="C19" s="47">
        <v>66</v>
      </c>
      <c r="D19" s="48">
        <v>153.80000000000001</v>
      </c>
      <c r="E19" s="49">
        <f t="shared" si="0"/>
        <v>0</v>
      </c>
    </row>
    <row r="20" spans="2:5" x14ac:dyDescent="0.35">
      <c r="C20" s="47">
        <v>68</v>
      </c>
      <c r="D20" s="48">
        <v>147.69999999999999</v>
      </c>
      <c r="E20" s="49">
        <f t="shared" si="0"/>
        <v>0</v>
      </c>
    </row>
    <row r="21" spans="2:5" x14ac:dyDescent="0.35">
      <c r="C21" s="47">
        <v>70</v>
      </c>
      <c r="D21" s="48">
        <v>141.69999999999999</v>
      </c>
      <c r="E21" s="49">
        <f t="shared" si="0"/>
        <v>0</v>
      </c>
    </row>
    <row r="22" spans="2:5" x14ac:dyDescent="0.35">
      <c r="C22" s="47">
        <v>72</v>
      </c>
      <c r="D22" s="48">
        <v>135.80000000000001</v>
      </c>
      <c r="E22" s="49">
        <f t="shared" si="0"/>
        <v>0</v>
      </c>
    </row>
    <row r="23" spans="2:5" x14ac:dyDescent="0.35">
      <c r="C23" s="47">
        <v>74</v>
      </c>
      <c r="D23" s="48">
        <v>129.69999999999999</v>
      </c>
      <c r="E23" s="49">
        <f t="shared" si="0"/>
        <v>0</v>
      </c>
    </row>
    <row r="24" spans="2:5" x14ac:dyDescent="0.35">
      <c r="C24" s="47">
        <v>76</v>
      </c>
      <c r="D24" s="48">
        <v>123.6</v>
      </c>
      <c r="E24" s="49">
        <f t="shared" si="0"/>
        <v>0</v>
      </c>
    </row>
    <row r="25" spans="2:5" x14ac:dyDescent="0.35">
      <c r="C25" s="47">
        <v>78</v>
      </c>
      <c r="D25" s="48">
        <v>117.5</v>
      </c>
      <c r="E25" s="49">
        <f t="shared" si="0"/>
        <v>0</v>
      </c>
    </row>
    <row r="26" spans="2:5" x14ac:dyDescent="0.35">
      <c r="C26" s="47">
        <v>80</v>
      </c>
      <c r="D26" s="48">
        <v>111.6</v>
      </c>
      <c r="E26" s="49">
        <f t="shared" si="0"/>
        <v>0</v>
      </c>
    </row>
    <row r="27" spans="2:5" ht="15" thickBot="1" x14ac:dyDescent="0.4">
      <c r="C27" s="50">
        <v>82</v>
      </c>
      <c r="D27" s="51">
        <v>105.6</v>
      </c>
      <c r="E27" s="52">
        <f t="shared" si="0"/>
        <v>0</v>
      </c>
    </row>
    <row r="29" spans="2:5" x14ac:dyDescent="0.35">
      <c r="B29" s="1" t="s">
        <v>11</v>
      </c>
      <c r="C29" s="13">
        <f t="array" ref="C29:D33">LINEST(D8:D27,C8:C27,TRUE,TRUE)</f>
        <v>-3.014022556390977</v>
      </c>
      <c r="D29" s="13">
        <v>352.72842105263152</v>
      </c>
      <c r="E29" t="s">
        <v>13</v>
      </c>
    </row>
    <row r="30" spans="2:5" ht="16.5" x14ac:dyDescent="0.45">
      <c r="B30" s="1" t="s">
        <v>12</v>
      </c>
      <c r="C30" s="23">
        <v>1.7489622571552768E-3</v>
      </c>
      <c r="D30" s="13">
        <v>0.11201553706278428</v>
      </c>
      <c r="E30" t="s">
        <v>14</v>
      </c>
    </row>
    <row r="31" spans="2:5" ht="16.5" x14ac:dyDescent="0.45">
      <c r="C31" s="12">
        <v>0.99999393909116785</v>
      </c>
      <c r="D31" s="13">
        <v>9.0203056925454536E-2</v>
      </c>
      <c r="E31" t="s">
        <v>15</v>
      </c>
    </row>
    <row r="32" spans="2:5" x14ac:dyDescent="0.35">
      <c r="C32" s="12">
        <v>2969833.6342214514</v>
      </c>
      <c r="D32" s="12">
        <v>18</v>
      </c>
    </row>
    <row r="33" spans="2:6" x14ac:dyDescent="0.35">
      <c r="C33" s="12">
        <v>24164.323041353382</v>
      </c>
      <c r="D33" s="12">
        <v>0.14645864661654223</v>
      </c>
    </row>
    <row r="35" spans="2:6" x14ac:dyDescent="0.35">
      <c r="B35" s="1" t="s">
        <v>1</v>
      </c>
    </row>
    <row r="45" spans="2:6" x14ac:dyDescent="0.35">
      <c r="B45" s="1" t="s">
        <v>2</v>
      </c>
    </row>
    <row r="46" spans="2:6" x14ac:dyDescent="0.35">
      <c r="D46" s="2" t="s">
        <v>3</v>
      </c>
      <c r="E46" s="2" t="s">
        <v>5</v>
      </c>
    </row>
    <row r="47" spans="2:6" ht="15.5" x14ac:dyDescent="0.35">
      <c r="C47" s="1" t="s">
        <v>0</v>
      </c>
      <c r="D47" s="6">
        <f>D3</f>
        <v>9.8019999999999996</v>
      </c>
      <c r="E47" s="6">
        <f>F3</f>
        <v>3.0000000000000001E-3</v>
      </c>
      <c r="F47" s="15" t="s">
        <v>62</v>
      </c>
    </row>
    <row r="48" spans="2:6" x14ac:dyDescent="0.35">
      <c r="C48" s="1" t="s">
        <v>11</v>
      </c>
      <c r="D48" s="6">
        <f>C29</f>
        <v>-3.014022556390977</v>
      </c>
      <c r="E48" s="37">
        <f>C30</f>
        <v>1.7489622571552768E-3</v>
      </c>
      <c r="F48" s="15" t="s">
        <v>64</v>
      </c>
    </row>
    <row r="49" spans="3:6" x14ac:dyDescent="0.35">
      <c r="C49" s="1" t="s">
        <v>11</v>
      </c>
      <c r="D49" s="6">
        <f>D48/1000*100</f>
        <v>-0.30140225563909773</v>
      </c>
      <c r="E49" s="6">
        <f>E48/1000*100</f>
        <v>1.7489622571552769E-4</v>
      </c>
      <c r="F49" s="15" t="s">
        <v>66</v>
      </c>
    </row>
    <row r="51" spans="3:6" x14ac:dyDescent="0.35">
      <c r="C51" s="1" t="s">
        <v>63</v>
      </c>
      <c r="D51" s="8">
        <f>-D47*D49</f>
        <v>2.9543449097744356</v>
      </c>
      <c r="E51" s="8">
        <f>D51*SQRT((E47/D47)^2+(E49/D49)^2)</f>
        <v>1.9381761637681609E-3</v>
      </c>
      <c r="F51" s="15" t="s">
        <v>65</v>
      </c>
    </row>
  </sheetData>
  <mergeCells count="1">
    <mergeCell ref="C5:E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7"/>
  <sheetViews>
    <sheetView workbookViewId="0">
      <selection activeCell="E6" sqref="E6"/>
    </sheetView>
  </sheetViews>
  <sheetFormatPr defaultRowHeight="14.5" x14ac:dyDescent="0.35"/>
  <cols>
    <col min="3" max="4" width="8.7265625" customWidth="1"/>
    <col min="6" max="6" width="9.36328125" customWidth="1"/>
  </cols>
  <sheetData>
    <row r="3" spans="2:6" ht="15.5" x14ac:dyDescent="0.35">
      <c r="B3" s="1" t="s">
        <v>55</v>
      </c>
      <c r="C3" s="2">
        <v>9.8019999999999996</v>
      </c>
      <c r="D3" s="29" t="s">
        <v>34</v>
      </c>
      <c r="E3" s="2">
        <v>3.0000000000000001E-3</v>
      </c>
      <c r="F3" s="15" t="s">
        <v>62</v>
      </c>
    </row>
    <row r="5" spans="2:6" x14ac:dyDescent="0.35">
      <c r="B5" s="2" t="s">
        <v>67</v>
      </c>
      <c r="C5" s="2" t="s">
        <v>68</v>
      </c>
      <c r="D5" s="29" t="s">
        <v>69</v>
      </c>
    </row>
    <row r="6" spans="2:6" x14ac:dyDescent="0.35">
      <c r="B6" s="4">
        <v>0</v>
      </c>
      <c r="C6" s="6">
        <f>$C$3*B6</f>
        <v>0</v>
      </c>
      <c r="D6" s="19">
        <v>0</v>
      </c>
    </row>
    <row r="7" spans="2:6" x14ac:dyDescent="0.35">
      <c r="B7" s="4">
        <v>1</v>
      </c>
      <c r="C7" s="6">
        <f t="shared" ref="C7:C11" si="0">$C$3*B7</f>
        <v>9.8019999999999996</v>
      </c>
      <c r="D7" s="19">
        <v>6.4000000000000001E-2</v>
      </c>
    </row>
    <row r="8" spans="2:6" x14ac:dyDescent="0.35">
      <c r="B8" s="4">
        <v>2</v>
      </c>
      <c r="C8" s="6">
        <f t="shared" si="0"/>
        <v>19.603999999999999</v>
      </c>
      <c r="D8" s="19">
        <v>0.11600000000000001</v>
      </c>
    </row>
    <row r="9" spans="2:6" x14ac:dyDescent="0.35">
      <c r="B9" s="4">
        <v>3</v>
      </c>
      <c r="C9" s="6">
        <f t="shared" si="0"/>
        <v>29.405999999999999</v>
      </c>
      <c r="D9" s="19">
        <v>0.161</v>
      </c>
    </row>
    <row r="10" spans="2:6" x14ac:dyDescent="0.35">
      <c r="B10" s="4">
        <v>4</v>
      </c>
      <c r="C10" s="6">
        <f t="shared" si="0"/>
        <v>39.207999999999998</v>
      </c>
      <c r="D10" s="19">
        <v>0.252</v>
      </c>
    </row>
    <row r="11" spans="2:6" x14ac:dyDescent="0.35">
      <c r="B11" s="4">
        <v>5</v>
      </c>
      <c r="C11" s="6">
        <f t="shared" si="0"/>
        <v>49.01</v>
      </c>
      <c r="D11" s="19">
        <v>0.30199999999999999</v>
      </c>
    </row>
    <row r="13" spans="2:6" x14ac:dyDescent="0.35">
      <c r="B13" s="1" t="s">
        <v>11</v>
      </c>
      <c r="C13" s="13">
        <f t="array" ref="C13:D17">LINEST(D6:D11,C6:C11,FALSE,TRUE)</f>
        <v>6.1156350281018719E-3</v>
      </c>
      <c r="D13" s="13">
        <v>0</v>
      </c>
      <c r="E13" t="s">
        <v>13</v>
      </c>
    </row>
    <row r="14" spans="2:6" ht="16.5" x14ac:dyDescent="0.45">
      <c r="B14" s="1" t="s">
        <v>12</v>
      </c>
      <c r="C14" s="13">
        <v>1.4307109365176032E-4</v>
      </c>
      <c r="D14" s="13" t="e">
        <v>#N/A</v>
      </c>
      <c r="E14" t="s">
        <v>14</v>
      </c>
    </row>
    <row r="15" spans="2:6" ht="16.5" x14ac:dyDescent="0.45">
      <c r="C15" s="12">
        <v>0.9972709979077895</v>
      </c>
      <c r="D15" s="13">
        <v>1.0400349644472182E-2</v>
      </c>
      <c r="E15" t="s">
        <v>15</v>
      </c>
    </row>
    <row r="16" spans="2:6" x14ac:dyDescent="0.35">
      <c r="C16" s="12">
        <v>1827.1715524776455</v>
      </c>
      <c r="D16" s="12">
        <v>5</v>
      </c>
    </row>
    <row r="17" spans="2:7" x14ac:dyDescent="0.35">
      <c r="C17" s="12">
        <v>0.19764016363636364</v>
      </c>
      <c r="D17" s="12">
        <v>5.4083636363636326E-4</v>
      </c>
    </row>
    <row r="20" spans="2:7" x14ac:dyDescent="0.35">
      <c r="C20" s="2" t="s">
        <v>3</v>
      </c>
      <c r="D20" s="2" t="s">
        <v>5</v>
      </c>
    </row>
    <row r="21" spans="2:7" x14ac:dyDescent="0.35">
      <c r="B21" s="5" t="s">
        <v>70</v>
      </c>
      <c r="C21" s="36">
        <f>C13</f>
        <v>6.1156350281018719E-3</v>
      </c>
      <c r="D21" s="36">
        <f>C14</f>
        <v>1.4307109365176032E-4</v>
      </c>
      <c r="E21" s="15" t="s">
        <v>73</v>
      </c>
    </row>
    <row r="22" spans="2:7" x14ac:dyDescent="0.35">
      <c r="B22" s="1" t="s">
        <v>7</v>
      </c>
      <c r="C22" s="4">
        <v>0.92349999999999999</v>
      </c>
      <c r="D22" s="4">
        <v>8.0000000000000004E-4</v>
      </c>
      <c r="E22" s="15" t="s">
        <v>17</v>
      </c>
    </row>
    <row r="23" spans="2:7" x14ac:dyDescent="0.35">
      <c r="B23" s="1" t="s">
        <v>71</v>
      </c>
      <c r="C23" s="4">
        <v>0.98</v>
      </c>
      <c r="D23" s="4">
        <v>0.02</v>
      </c>
      <c r="E23" s="15" t="s">
        <v>74</v>
      </c>
    </row>
    <row r="24" spans="2:7" ht="16.5" x14ac:dyDescent="0.35">
      <c r="B24" s="1" t="s">
        <v>72</v>
      </c>
      <c r="C24" s="8">
        <f>PI()*C23^2/4</f>
        <v>0.75429639612690924</v>
      </c>
      <c r="D24" s="8">
        <f>C24*SQRT(2^2*(D23/C23)^2)</f>
        <v>3.0787608005179972E-2</v>
      </c>
      <c r="E24" s="15" t="s">
        <v>75</v>
      </c>
    </row>
    <row r="26" spans="2:7" ht="16.5" x14ac:dyDescent="0.35">
      <c r="B26" s="1" t="s">
        <v>76</v>
      </c>
      <c r="C26" s="27">
        <f>C22/(C24/1000^2)/(C21/1000)</f>
        <v>200195037366.13113</v>
      </c>
      <c r="D26" s="31">
        <f>C26*SQRT((D21/C21)^2+(D22/C22)^2+(D24/C24)^2)</f>
        <v>9419845402.5167179</v>
      </c>
      <c r="E26" s="15" t="s">
        <v>77</v>
      </c>
      <c r="F26" s="2" t="s">
        <v>78</v>
      </c>
      <c r="G26" s="15" t="s">
        <v>26</v>
      </c>
    </row>
    <row r="27" spans="2:7" x14ac:dyDescent="0.35">
      <c r="B27" s="1" t="s">
        <v>76</v>
      </c>
      <c r="C27" s="35">
        <f>C26/1000000000</f>
        <v>200.19503736613115</v>
      </c>
      <c r="D27" s="35">
        <f>D26/1000000000</f>
        <v>9.4198454025167173</v>
      </c>
      <c r="E27" s="15" t="s">
        <v>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3"/>
  <sheetViews>
    <sheetView workbookViewId="0">
      <selection activeCell="E2" sqref="E2"/>
    </sheetView>
  </sheetViews>
  <sheetFormatPr defaultRowHeight="14.5" x14ac:dyDescent="0.35"/>
  <sheetData>
    <row r="3" spans="2:4" x14ac:dyDescent="0.35">
      <c r="C3" s="3" t="s">
        <v>17</v>
      </c>
      <c r="D3" s="3" t="s">
        <v>17</v>
      </c>
    </row>
    <row r="4" spans="2:4" ht="15.5" x14ac:dyDescent="0.35">
      <c r="B4" s="53" t="s">
        <v>80</v>
      </c>
      <c r="C4" s="53" t="s">
        <v>81</v>
      </c>
      <c r="D4" s="53" t="s">
        <v>82</v>
      </c>
    </row>
    <row r="5" spans="2:4" x14ac:dyDescent="0.35">
      <c r="B5" s="54" t="s">
        <v>72</v>
      </c>
      <c r="C5" s="57">
        <v>1.27</v>
      </c>
      <c r="D5" s="57">
        <v>0.69</v>
      </c>
    </row>
    <row r="6" spans="2:4" x14ac:dyDescent="0.35">
      <c r="B6" s="55"/>
      <c r="C6" s="57">
        <v>9.8342499999999999E-2</v>
      </c>
      <c r="D6" s="57">
        <v>0.08</v>
      </c>
    </row>
    <row r="7" spans="2:4" x14ac:dyDescent="0.35">
      <c r="B7" s="55"/>
      <c r="C7" s="57">
        <v>0.08</v>
      </c>
      <c r="D7" s="57">
        <v>6.2E-2</v>
      </c>
    </row>
    <row r="8" spans="2:4" x14ac:dyDescent="0.35">
      <c r="B8" s="55"/>
      <c r="C8" s="57">
        <v>6.2E-2</v>
      </c>
      <c r="D8" s="57">
        <v>5.1999999999999998E-2</v>
      </c>
    </row>
    <row r="9" spans="2:4" x14ac:dyDescent="0.35">
      <c r="B9" s="55"/>
      <c r="C9" s="57">
        <v>5.1999999999999998E-2</v>
      </c>
      <c r="D9" s="57">
        <v>0.04</v>
      </c>
    </row>
    <row r="10" spans="2:4" x14ac:dyDescent="0.35">
      <c r="B10" s="56"/>
      <c r="C10" s="57">
        <v>0.04</v>
      </c>
      <c r="D10" s="57">
        <v>2.5000000000000001E-2</v>
      </c>
    </row>
    <row r="11" spans="2:4" x14ac:dyDescent="0.35">
      <c r="B11" s="54" t="s">
        <v>83</v>
      </c>
      <c r="C11" s="57">
        <v>0.59789999999999999</v>
      </c>
      <c r="D11" s="57">
        <v>0.30129250000000002</v>
      </c>
    </row>
    <row r="12" spans="2:4" x14ac:dyDescent="0.35">
      <c r="B12" s="55"/>
      <c r="C12" s="57">
        <v>0.30129250000000002</v>
      </c>
      <c r="D12" s="57">
        <v>0.16575000000000001</v>
      </c>
    </row>
    <row r="13" spans="2:4" x14ac:dyDescent="0.35">
      <c r="B13" s="56"/>
      <c r="C13" s="57">
        <v>0.16575000000000001</v>
      </c>
      <c r="D13" s="57">
        <v>9.8952499999999999E-2</v>
      </c>
    </row>
    <row r="14" spans="2:4" x14ac:dyDescent="0.35">
      <c r="B14" s="54" t="s">
        <v>84</v>
      </c>
      <c r="C14" s="57">
        <v>1.597375</v>
      </c>
      <c r="D14" s="57">
        <v>0.83375999999999995</v>
      </c>
    </row>
    <row r="15" spans="2:4" x14ac:dyDescent="0.35">
      <c r="B15" s="56"/>
      <c r="C15" s="57">
        <v>0.83375999999999995</v>
      </c>
      <c r="D15" s="57">
        <v>0.50492499999999996</v>
      </c>
    </row>
    <row r="17" spans="1:5" x14ac:dyDescent="0.35">
      <c r="B17" s="1" t="s">
        <v>11</v>
      </c>
      <c r="C17" s="13">
        <f t="array" ref="C17:D21">LINEST(D5:D15,C5:C15,TRUE,TRUE)</f>
        <v>0.52462862261846455</v>
      </c>
      <c r="D17" s="13">
        <v>1.6263903442687994E-2</v>
      </c>
      <c r="E17" t="s">
        <v>13</v>
      </c>
    </row>
    <row r="18" spans="1:5" ht="16.5" x14ac:dyDescent="0.45">
      <c r="B18" s="1" t="s">
        <v>12</v>
      </c>
      <c r="C18" s="13">
        <v>1.270094944151204E-2</v>
      </c>
      <c r="D18" s="13">
        <v>8.8655708149898357E-3</v>
      </c>
      <c r="E18" t="s">
        <v>14</v>
      </c>
    </row>
    <row r="19" spans="1:5" ht="16.5" x14ac:dyDescent="0.45">
      <c r="C19" s="12">
        <v>0.99475281833909746</v>
      </c>
      <c r="D19" s="13">
        <v>2.1985985227720214E-2</v>
      </c>
      <c r="E19" t="s">
        <v>15</v>
      </c>
    </row>
    <row r="20" spans="1:5" x14ac:dyDescent="0.35">
      <c r="C20" s="12">
        <v>1706.2064825694986</v>
      </c>
      <c r="D20" s="12">
        <v>9</v>
      </c>
    </row>
    <row r="21" spans="1:5" x14ac:dyDescent="0.35">
      <c r="C21" s="12">
        <v>0.82475214049232548</v>
      </c>
      <c r="D21" s="12">
        <v>4.3504519179017823E-3</v>
      </c>
    </row>
    <row r="23" spans="1:5" x14ac:dyDescent="0.35">
      <c r="A23" s="1" t="s">
        <v>1</v>
      </c>
    </row>
    <row r="32" spans="1:5" x14ac:dyDescent="0.35">
      <c r="A32" s="1" t="s">
        <v>2</v>
      </c>
    </row>
    <row r="37" spans="1:5" x14ac:dyDescent="0.35">
      <c r="C37" s="2" t="s">
        <v>3</v>
      </c>
      <c r="D37" s="2" t="s">
        <v>5</v>
      </c>
    </row>
    <row r="38" spans="1:5" x14ac:dyDescent="0.35">
      <c r="B38" s="1" t="s">
        <v>11</v>
      </c>
      <c r="C38" s="8">
        <f>C17</f>
        <v>0.52462862261846455</v>
      </c>
      <c r="D38" s="8">
        <f>C18</f>
        <v>1.270094944151204E-2</v>
      </c>
      <c r="E38" s="15"/>
    </row>
    <row r="39" spans="1:5" x14ac:dyDescent="0.35">
      <c r="B39" s="1" t="s">
        <v>85</v>
      </c>
      <c r="C39" s="8">
        <f>SQRT(C38)</f>
        <v>0.72431251723166057</v>
      </c>
      <c r="D39" s="8">
        <f>C39*SQRT((1/2)^2*(D38/C38)^2)</f>
        <v>8.7675893618788803E-3</v>
      </c>
      <c r="E39" s="15"/>
    </row>
    <row r="41" spans="1:5" x14ac:dyDescent="0.35">
      <c r="A41" s="1" t="s">
        <v>86</v>
      </c>
    </row>
    <row r="46" spans="1:5" x14ac:dyDescent="0.35">
      <c r="C46" s="2" t="s">
        <v>3</v>
      </c>
      <c r="D46" s="2" t="s">
        <v>5</v>
      </c>
    </row>
    <row r="47" spans="1:5" x14ac:dyDescent="0.35">
      <c r="B47" s="1" t="s">
        <v>6</v>
      </c>
      <c r="C47" s="6">
        <f>COUNT(C5:C15)</f>
        <v>11</v>
      </c>
      <c r="D47" s="4">
        <v>0</v>
      </c>
    </row>
    <row r="48" spans="1:5" ht="16.5" x14ac:dyDescent="0.45">
      <c r="B48" s="1" t="s">
        <v>91</v>
      </c>
      <c r="D48" s="6">
        <f>D19</f>
        <v>2.1985985227720214E-2</v>
      </c>
      <c r="E48" s="15" t="s">
        <v>17</v>
      </c>
    </row>
    <row r="49" spans="2:5" ht="16.5" x14ac:dyDescent="0.45">
      <c r="B49" s="1" t="s">
        <v>88</v>
      </c>
      <c r="C49" s="8">
        <f>AVERAGE(C5:C15)</f>
        <v>0.46349272727272733</v>
      </c>
      <c r="D49" s="30">
        <v>0</v>
      </c>
      <c r="E49" s="15" t="s">
        <v>17</v>
      </c>
    </row>
    <row r="50" spans="2:5" x14ac:dyDescent="0.35">
      <c r="B50" s="1" t="s">
        <v>87</v>
      </c>
      <c r="C50" s="8">
        <f>D17</f>
        <v>1.6263903442687994E-2</v>
      </c>
      <c r="D50" s="8">
        <f>D18</f>
        <v>8.8655708149898357E-3</v>
      </c>
      <c r="E50" s="15" t="s">
        <v>17</v>
      </c>
    </row>
    <row r="51" spans="2:5" x14ac:dyDescent="0.35">
      <c r="B51" s="1" t="s">
        <v>11</v>
      </c>
      <c r="C51" s="8">
        <f>C17</f>
        <v>0.52462862261846455</v>
      </c>
      <c r="D51" s="8">
        <f>C18</f>
        <v>1.270094944151204E-2</v>
      </c>
    </row>
    <row r="52" spans="2:5" ht="16.5" x14ac:dyDescent="0.45">
      <c r="B52" s="1" t="s">
        <v>89</v>
      </c>
      <c r="C52" s="8">
        <v>1</v>
      </c>
      <c r="D52" s="30">
        <v>0</v>
      </c>
      <c r="E52" s="15" t="s">
        <v>17</v>
      </c>
    </row>
    <row r="53" spans="2:5" ht="16.5" x14ac:dyDescent="0.45">
      <c r="B53" s="1" t="s">
        <v>90</v>
      </c>
      <c r="C53" s="8">
        <f>C50+C51*C52</f>
        <v>0.54089252606115257</v>
      </c>
      <c r="D53" s="8">
        <f>SQRT(((C52-C49)*D51)^2+D48^2/C47)</f>
        <v>9.5066620210780845E-3</v>
      </c>
      <c r="E53" s="15" t="s">
        <v>17</v>
      </c>
    </row>
  </sheetData>
  <mergeCells count="3">
    <mergeCell ref="B5:B10"/>
    <mergeCell ref="B11:B13"/>
    <mergeCell ref="B14:B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F21B70640A2E45B73D6603D386F931" ma:contentTypeVersion="15" ma:contentTypeDescription="Criar um novo documento." ma:contentTypeScope="" ma:versionID="c0e10243714331aed3bf6f2fd09bf43d">
  <xsd:schema xmlns:xsd="http://www.w3.org/2001/XMLSchema" xmlns:xs="http://www.w3.org/2001/XMLSchema" xmlns:p="http://schemas.microsoft.com/office/2006/metadata/properties" xmlns:ns3="b81fc94e-6345-4919-8801-cb2453a9716a" xmlns:ns4="7c284bd3-9d49-4966-bb9a-4f9a50667e8c" targetNamespace="http://schemas.microsoft.com/office/2006/metadata/properties" ma:root="true" ma:fieldsID="95371101d047a3610d018808e244fe70" ns3:_="" ns4:_="">
    <xsd:import namespace="b81fc94e-6345-4919-8801-cb2453a9716a"/>
    <xsd:import namespace="7c284bd3-9d49-4966-bb9a-4f9a50667e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c94e-6345-4919-8801-cb2453a97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84bd3-9d49-4966-bb9a-4f9a50667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fc94e-6345-4919-8801-cb2453a9716a" xsi:nil="true"/>
  </documentManagement>
</p:properties>
</file>

<file path=customXml/itemProps1.xml><?xml version="1.0" encoding="utf-8"?>
<ds:datastoreItem xmlns:ds="http://schemas.openxmlformats.org/officeDocument/2006/customXml" ds:itemID="{751BBC7B-91CF-483F-9887-A25F684AE4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0BFF69-DA73-4422-A97F-4BD837826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fc94e-6345-4919-8801-cb2453a9716a"/>
    <ds:schemaRef ds:uri="7c284bd3-9d49-4966-bb9a-4f9a50667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F64E56-8898-4AFC-B0A0-756E280A02C0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c284bd3-9d49-4966-bb9a-4f9a50667e8c"/>
    <ds:schemaRef ds:uri="b81fc94e-6345-4919-8801-cb2453a971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Prob_1</vt:lpstr>
      <vt:lpstr>Prob_2</vt:lpstr>
      <vt:lpstr>Prob_3</vt:lpstr>
      <vt:lpstr>Prob_4</vt:lpstr>
      <vt:lpstr>Prob_5</vt:lpstr>
      <vt:lpstr>Prob_6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Vicente</cp:lastModifiedBy>
  <dcterms:created xsi:type="dcterms:W3CDTF">2023-10-22T10:10:31Z</dcterms:created>
  <dcterms:modified xsi:type="dcterms:W3CDTF">2023-12-01T20:32:14Z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0x010100F1F21B70640A2E45B73D6603D386F931</vt:lpwstr>
  </property>
</Properties>
</file>